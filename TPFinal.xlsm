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:\GITHUB\CVJ1102-TPFinal\"/>
    </mc:Choice>
  </mc:AlternateContent>
  <xr:revisionPtr revIDLastSave="0" documentId="13_ncr:1_{5CAF4598-937A-44C3-987D-964731863ECD}" xr6:coauthVersionLast="47" xr6:coauthVersionMax="47" xr10:uidLastSave="{00000000-0000-0000-0000-000000000000}"/>
  <bookViews>
    <workbookView xWindow="-108" yWindow="-108" windowWidth="30936" windowHeight="16896" activeTab="1" xr2:uid="{6B088E16-F2B9-4C7D-9EBA-C53FDBF07AE3}"/>
  </bookViews>
  <sheets>
    <sheet name="Paramètres" sheetId="1" r:id="rId1"/>
    <sheet name="Simulation" sheetId="2" r:id="rId2"/>
    <sheet name="Preuve24Tours" sheetId="5" r:id="rId3"/>
    <sheet name="Sheet4" sheetId="4" r:id="rId4"/>
  </sheets>
  <definedNames>
    <definedName name="_xleta.MAX" hidden="1" xlm="1">#NAME?</definedName>
    <definedName name="_xleta.NORM.IN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5" l="1"/>
  <c r="P4" i="5"/>
  <c r="D4" i="5"/>
  <c r="D3" i="5"/>
  <c r="E3" i="5" s="1"/>
  <c r="D3" i="2"/>
  <c r="E3" i="2" s="1"/>
  <c r="D4" i="2"/>
  <c r="E4" i="2" s="1"/>
  <c r="E4" i="5"/>
  <c r="E4" i="4"/>
  <c r="E3" i="4"/>
  <c r="K4" i="5" l="1"/>
  <c r="M4" i="5" s="1"/>
  <c r="I4" i="5"/>
  <c r="L4" i="5" s="1"/>
  <c r="G4" i="5"/>
  <c r="H4" i="2"/>
  <c r="I4" i="2" s="1"/>
  <c r="L4" i="2" s="1"/>
  <c r="C8" i="4"/>
  <c r="D8" i="4" s="1"/>
  <c r="I4" i="4" s="1"/>
  <c r="G4" i="4"/>
  <c r="C7" i="4"/>
  <c r="G4" i="2"/>
  <c r="J4" i="2"/>
  <c r="N4" i="5" l="1"/>
  <c r="O4" i="5"/>
  <c r="K4" i="2"/>
  <c r="M4" i="2" s="1"/>
  <c r="O4" i="2" s="1"/>
  <c r="D7" i="4"/>
  <c r="H4" i="4" s="1"/>
  <c r="Q4" i="2" l="1"/>
  <c r="P4" i="2"/>
  <c r="R4" i="5"/>
  <c r="N4" i="2"/>
  <c r="K4" i="4"/>
  <c r="K5" i="5" l="1"/>
  <c r="M5" i="5" s="1"/>
  <c r="G5" i="5"/>
  <c r="I5" i="5"/>
  <c r="L5" i="5" s="1"/>
  <c r="Q5" i="5" s="1"/>
  <c r="R4" i="2"/>
  <c r="L4" i="4"/>
  <c r="M4" i="4" s="1"/>
  <c r="J4" i="4"/>
  <c r="P5" i="5" l="1"/>
  <c r="H5" i="2"/>
  <c r="I5" i="2" s="1"/>
  <c r="L5" i="2" s="1"/>
  <c r="N5" i="5"/>
  <c r="O5" i="5"/>
  <c r="J5" i="2"/>
  <c r="K5" i="2" s="1"/>
  <c r="M5" i="2" s="1"/>
  <c r="G5" i="2"/>
  <c r="H5" i="4"/>
  <c r="I5" i="4"/>
  <c r="G5" i="4"/>
  <c r="Q5" i="2" l="1"/>
  <c r="P5" i="2"/>
  <c r="R5" i="5"/>
  <c r="N5" i="2"/>
  <c r="O5" i="2"/>
  <c r="K5" i="4"/>
  <c r="L5" i="4"/>
  <c r="J5" i="4"/>
  <c r="K6" i="5" l="1"/>
  <c r="M6" i="5" s="1"/>
  <c r="G6" i="5"/>
  <c r="I6" i="5"/>
  <c r="L6" i="5" s="1"/>
  <c r="O6" i="5" s="1"/>
  <c r="R5" i="2"/>
  <c r="M5" i="4"/>
  <c r="P6" i="5" l="1"/>
  <c r="Q6" i="5"/>
  <c r="H6" i="2"/>
  <c r="I6" i="2" s="1"/>
  <c r="L6" i="2" s="1"/>
  <c r="N6" i="5"/>
  <c r="R6" i="5"/>
  <c r="J6" i="2"/>
  <c r="K6" i="2" s="1"/>
  <c r="G6" i="2"/>
  <c r="G6" i="4"/>
  <c r="H6" i="4"/>
  <c r="I6" i="4"/>
  <c r="G7" i="5" l="1"/>
  <c r="K7" i="5"/>
  <c r="M7" i="5" s="1"/>
  <c r="I7" i="5"/>
  <c r="L7" i="5" s="1"/>
  <c r="Q7" i="5" s="1"/>
  <c r="M6" i="2"/>
  <c r="P6" i="2" s="1"/>
  <c r="J6" i="4"/>
  <c r="L6" i="4"/>
  <c r="K6" i="4"/>
  <c r="P7" i="5" l="1"/>
  <c r="Q6" i="2"/>
  <c r="R6" i="2" s="1"/>
  <c r="O7" i="5"/>
  <c r="N7" i="5"/>
  <c r="O6" i="2"/>
  <c r="N6" i="2"/>
  <c r="M6" i="4"/>
  <c r="I7" i="4" s="1"/>
  <c r="R7" i="5" l="1"/>
  <c r="J7" i="2"/>
  <c r="K7" i="2" s="1"/>
  <c r="G7" i="2"/>
  <c r="H7" i="2"/>
  <c r="I7" i="2" s="1"/>
  <c r="L7" i="2" s="1"/>
  <c r="H7" i="4"/>
  <c r="G7" i="4"/>
  <c r="G8" i="5" l="1"/>
  <c r="K8" i="5"/>
  <c r="M8" i="5" s="1"/>
  <c r="I8" i="5"/>
  <c r="L8" i="5" s="1"/>
  <c r="P8" i="5" s="1"/>
  <c r="M7" i="2"/>
  <c r="P7" i="2" s="1"/>
  <c r="L7" i="4"/>
  <c r="J7" i="4"/>
  <c r="K7" i="4"/>
  <c r="Q8" i="5" l="1"/>
  <c r="Q7" i="2"/>
  <c r="R7" i="2" s="1"/>
  <c r="O8" i="5"/>
  <c r="N8" i="5"/>
  <c r="R8" i="5"/>
  <c r="O7" i="2"/>
  <c r="N7" i="2"/>
  <c r="M7" i="4"/>
  <c r="G8" i="4" s="1"/>
  <c r="G9" i="5" l="1"/>
  <c r="I9" i="5"/>
  <c r="L9" i="5" s="1"/>
  <c r="Q9" i="5" s="1"/>
  <c r="K9" i="5"/>
  <c r="M9" i="5" s="1"/>
  <c r="G8" i="2"/>
  <c r="J8" i="2"/>
  <c r="H8" i="2"/>
  <c r="I8" i="2" s="1"/>
  <c r="L8" i="2" s="1"/>
  <c r="H8" i="4"/>
  <c r="I8" i="4"/>
  <c r="P9" i="5" l="1"/>
  <c r="N9" i="5"/>
  <c r="O9" i="5"/>
  <c r="K8" i="2"/>
  <c r="M8" i="2" s="1"/>
  <c r="N8" i="2" s="1"/>
  <c r="J8" i="4"/>
  <c r="K8" i="4"/>
  <c r="L8" i="4"/>
  <c r="Q8" i="2" l="1"/>
  <c r="P8" i="2"/>
  <c r="R9" i="5"/>
  <c r="O8" i="2"/>
  <c r="M8" i="4"/>
  <c r="H9" i="4" s="1"/>
  <c r="K10" i="5" l="1"/>
  <c r="M10" i="5" s="1"/>
  <c r="G10" i="5"/>
  <c r="I10" i="5"/>
  <c r="L10" i="5" s="1"/>
  <c r="P10" i="5" s="1"/>
  <c r="R8" i="2"/>
  <c r="I9" i="4"/>
  <c r="K9" i="4" s="1"/>
  <c r="G9" i="4"/>
  <c r="Q10" i="5" l="1"/>
  <c r="O10" i="5"/>
  <c r="N10" i="5"/>
  <c r="R10" i="5"/>
  <c r="J9" i="2"/>
  <c r="G9" i="2"/>
  <c r="H9" i="2"/>
  <c r="J9" i="4"/>
  <c r="L9" i="4"/>
  <c r="M9" i="4" s="1"/>
  <c r="H10" i="4" s="1"/>
  <c r="K11" i="5" l="1"/>
  <c r="M11" i="5"/>
  <c r="I11" i="5"/>
  <c r="L11" i="5" s="1"/>
  <c r="Q11" i="5" s="1"/>
  <c r="G11" i="5"/>
  <c r="I9" i="2"/>
  <c r="L9" i="2" s="1"/>
  <c r="K9" i="2"/>
  <c r="M9" i="2" s="1"/>
  <c r="G10" i="4"/>
  <c r="I10" i="4"/>
  <c r="J10" i="4" s="1"/>
  <c r="P11" i="5" l="1"/>
  <c r="Q9" i="2"/>
  <c r="P9" i="2"/>
  <c r="N11" i="5"/>
  <c r="O11" i="5"/>
  <c r="N9" i="2"/>
  <c r="O9" i="2"/>
  <c r="K10" i="4"/>
  <c r="L10" i="4"/>
  <c r="R11" i="5" l="1"/>
  <c r="R9" i="2"/>
  <c r="M10" i="4"/>
  <c r="K12" i="5" l="1"/>
  <c r="I12" i="5"/>
  <c r="L12" i="5" s="1"/>
  <c r="Q12" i="5" s="1"/>
  <c r="M12" i="5"/>
  <c r="G12" i="5"/>
  <c r="J10" i="2"/>
  <c r="G10" i="2"/>
  <c r="H10" i="2"/>
  <c r="I10" i="2" s="1"/>
  <c r="G11" i="4"/>
  <c r="H11" i="4"/>
  <c r="I11" i="4"/>
  <c r="P12" i="5" l="1"/>
  <c r="N12" i="5"/>
  <c r="O12" i="5"/>
  <c r="R12" i="5"/>
  <c r="K10" i="2"/>
  <c r="M10" i="2" s="1"/>
  <c r="L10" i="2"/>
  <c r="L11" i="4"/>
  <c r="K11" i="4"/>
  <c r="J11" i="4"/>
  <c r="K13" i="5" l="1"/>
  <c r="Q10" i="2"/>
  <c r="P10" i="2"/>
  <c r="G13" i="5"/>
  <c r="M13" i="5"/>
  <c r="I13" i="5"/>
  <c r="L13" i="5" s="1"/>
  <c r="Q13" i="5" s="1"/>
  <c r="N10" i="2"/>
  <c r="O10" i="2"/>
  <c r="M11" i="4"/>
  <c r="H12" i="4" s="1"/>
  <c r="P13" i="5" l="1"/>
  <c r="O13" i="5"/>
  <c r="N13" i="5"/>
  <c r="R10" i="2"/>
  <c r="I12" i="4"/>
  <c r="L12" i="4" s="1"/>
  <c r="G12" i="4"/>
  <c r="H11" i="2" l="1"/>
  <c r="I11" i="2" s="1"/>
  <c r="L11" i="2" s="1"/>
  <c r="R13" i="5"/>
  <c r="J12" i="4"/>
  <c r="K12" i="4"/>
  <c r="M12" i="4" s="1"/>
  <c r="H13" i="4" s="1"/>
  <c r="G11" i="2"/>
  <c r="J11" i="2"/>
  <c r="K11" i="2" s="1"/>
  <c r="M11" i="2" s="1"/>
  <c r="K14" i="5" l="1"/>
  <c r="M14" i="5" s="1"/>
  <c r="Q11" i="2"/>
  <c r="P11" i="2"/>
  <c r="G14" i="5"/>
  <c r="I14" i="5"/>
  <c r="L14" i="5" s="1"/>
  <c r="Q14" i="5" s="1"/>
  <c r="N14" i="5"/>
  <c r="N11" i="2"/>
  <c r="G13" i="4"/>
  <c r="I13" i="4"/>
  <c r="L13" i="4" s="1"/>
  <c r="O11" i="2"/>
  <c r="P14" i="5" l="1"/>
  <c r="R14" i="5" s="1"/>
  <c r="I15" i="5" s="1"/>
  <c r="L15" i="5" s="1"/>
  <c r="O14" i="5"/>
  <c r="K15" i="5"/>
  <c r="M15" i="5" s="1"/>
  <c r="J13" i="4"/>
  <c r="K13" i="4"/>
  <c r="M13" i="4" s="1"/>
  <c r="G14" i="4" s="1"/>
  <c r="R11" i="2"/>
  <c r="G15" i="5" l="1"/>
  <c r="Q15" i="5"/>
  <c r="P15" i="5"/>
  <c r="R15" i="5" s="1"/>
  <c r="N15" i="5"/>
  <c r="O15" i="5"/>
  <c r="H14" i="4"/>
  <c r="I14" i="4"/>
  <c r="L14" i="4" s="1"/>
  <c r="G12" i="2"/>
  <c r="J12" i="2"/>
  <c r="H12" i="2"/>
  <c r="I12" i="2" s="1"/>
  <c r="J14" i="4"/>
  <c r="K14" i="4"/>
  <c r="M14" i="4" l="1"/>
  <c r="G15" i="4" s="1"/>
  <c r="I16" i="5"/>
  <c r="L16" i="5" s="1"/>
  <c r="Q16" i="5" s="1"/>
  <c r="G16" i="5"/>
  <c r="K16" i="5"/>
  <c r="M16" i="5" s="1"/>
  <c r="L12" i="2"/>
  <c r="K12" i="2"/>
  <c r="M12" i="2" s="1"/>
  <c r="H15" i="4" l="1"/>
  <c r="I15" i="4"/>
  <c r="K15" i="4" s="1"/>
  <c r="L15" i="4"/>
  <c r="P16" i="5"/>
  <c r="M15" i="4"/>
  <c r="H16" i="4" s="1"/>
  <c r="P12" i="2"/>
  <c r="Q12" i="2"/>
  <c r="N16" i="5"/>
  <c r="O16" i="5"/>
  <c r="J15" i="4"/>
  <c r="N12" i="2"/>
  <c r="O12" i="2"/>
  <c r="I16" i="4" l="1"/>
  <c r="J16" i="4" s="1"/>
  <c r="L16" i="4"/>
  <c r="G16" i="4"/>
  <c r="R16" i="5"/>
  <c r="R12" i="2"/>
  <c r="K16" i="4" l="1"/>
  <c r="M16" i="4" s="1"/>
  <c r="G17" i="5"/>
  <c r="I17" i="5"/>
  <c r="L17" i="5" s="1"/>
  <c r="Q17" i="5" s="1"/>
  <c r="K17" i="5"/>
  <c r="M17" i="5" s="1"/>
  <c r="H13" i="2"/>
  <c r="I13" i="2" s="1"/>
  <c r="G13" i="2"/>
  <c r="J13" i="2"/>
  <c r="K13" i="2" s="1"/>
  <c r="P17" i="5" l="1"/>
  <c r="J17" i="4"/>
  <c r="G17" i="4"/>
  <c r="L17" i="4"/>
  <c r="H17" i="4"/>
  <c r="M17" i="4"/>
  <c r="K17" i="4"/>
  <c r="I17" i="4"/>
  <c r="O17" i="5"/>
  <c r="N17" i="5"/>
  <c r="L13" i="2"/>
  <c r="M13" i="2"/>
  <c r="K18" i="4" l="1"/>
  <c r="J18" i="4"/>
  <c r="L18" i="4"/>
  <c r="H18" i="4"/>
  <c r="I18" i="4"/>
  <c r="G18" i="4"/>
  <c r="M18" i="4"/>
  <c r="P13" i="2"/>
  <c r="Q13" i="2"/>
  <c r="R17" i="5"/>
  <c r="O13" i="2"/>
  <c r="N13" i="2"/>
  <c r="I18" i="5" l="1"/>
  <c r="Q18" i="5"/>
  <c r="P18" i="5"/>
  <c r="K18" i="5"/>
  <c r="I19" i="4"/>
  <c r="J19" i="4"/>
  <c r="G19" i="4"/>
  <c r="L19" i="4"/>
  <c r="M19" i="4"/>
  <c r="H19" i="4"/>
  <c r="K19" i="4"/>
  <c r="R13" i="2"/>
  <c r="G14" i="2" s="1"/>
  <c r="G18" i="5"/>
  <c r="M18" i="5"/>
  <c r="L18" i="5"/>
  <c r="K20" i="4" l="1"/>
  <c r="J20" i="4"/>
  <c r="G20" i="4"/>
  <c r="L20" i="4"/>
  <c r="M20" i="4"/>
  <c r="I20" i="4"/>
  <c r="H20" i="4"/>
  <c r="H14" i="2"/>
  <c r="I14" i="2" s="1"/>
  <c r="L14" i="2" s="1"/>
  <c r="J14" i="2"/>
  <c r="K14" i="2" s="1"/>
  <c r="M14" i="2" s="1"/>
  <c r="O18" i="5"/>
  <c r="N18" i="5"/>
  <c r="H21" i="4" l="1"/>
  <c r="L21" i="4"/>
  <c r="K21" i="4"/>
  <c r="I21" i="4"/>
  <c r="J21" i="4"/>
  <c r="G21" i="4"/>
  <c r="M21" i="4"/>
  <c r="N14" i="2"/>
  <c r="Q14" i="2"/>
  <c r="P14" i="2"/>
  <c r="O14" i="2"/>
  <c r="R18" i="5"/>
  <c r="I19" i="5" l="1"/>
  <c r="L19" i="5" s="1"/>
  <c r="Q19" i="5"/>
  <c r="P19" i="5"/>
  <c r="R14" i="2"/>
  <c r="J15" i="2" s="1"/>
  <c r="K15" i="2" s="1"/>
  <c r="M15" i="2" s="1"/>
  <c r="L22" i="4"/>
  <c r="H22" i="4"/>
  <c r="I22" i="4"/>
  <c r="K22" i="4"/>
  <c r="M22" i="4"/>
  <c r="J22" i="4"/>
  <c r="G22" i="4"/>
  <c r="K19" i="5"/>
  <c r="M19" i="5" s="1"/>
  <c r="R19" i="5" s="1"/>
  <c r="O19" i="5"/>
  <c r="G19" i="5"/>
  <c r="G15" i="2" l="1"/>
  <c r="Q20" i="5"/>
  <c r="P20" i="5"/>
  <c r="H15" i="2"/>
  <c r="I15" i="2" s="1"/>
  <c r="L15" i="2" s="1"/>
  <c r="N15" i="2" s="1"/>
  <c r="G23" i="4"/>
  <c r="J23" i="4"/>
  <c r="K23" i="4"/>
  <c r="I23" i="4"/>
  <c r="H23" i="4"/>
  <c r="L23" i="4"/>
  <c r="M23" i="4"/>
  <c r="K20" i="5"/>
  <c r="I20" i="5"/>
  <c r="L20" i="5" s="1"/>
  <c r="M20" i="5"/>
  <c r="G20" i="5"/>
  <c r="N19" i="5"/>
  <c r="P15" i="2" l="1"/>
  <c r="O15" i="2"/>
  <c r="Q15" i="2"/>
  <c r="G24" i="4"/>
  <c r="M24" i="4"/>
  <c r="H24" i="4"/>
  <c r="I24" i="4"/>
  <c r="K24" i="4"/>
  <c r="J24" i="4"/>
  <c r="L24" i="4"/>
  <c r="O20" i="5"/>
  <c r="R20" i="5"/>
  <c r="N20" i="5"/>
  <c r="R15" i="2" l="1"/>
  <c r="G16" i="2" s="1"/>
  <c r="Q21" i="5"/>
  <c r="P21" i="5"/>
  <c r="G25" i="4"/>
  <c r="L25" i="4"/>
  <c r="J25" i="4"/>
  <c r="M25" i="4"/>
  <c r="H25" i="4"/>
  <c r="K25" i="4"/>
  <c r="I25" i="4"/>
  <c r="K21" i="5"/>
  <c r="M21" i="5"/>
  <c r="G21" i="5"/>
  <c r="I21" i="5"/>
  <c r="L21" i="5" s="1"/>
  <c r="J16" i="2" l="1"/>
  <c r="K16" i="2" s="1"/>
  <c r="M16" i="2" s="1"/>
  <c r="H16" i="2"/>
  <c r="I16" i="2" s="1"/>
  <c r="L16" i="2" s="1"/>
  <c r="K26" i="4"/>
  <c r="M26" i="4"/>
  <c r="I26" i="4"/>
  <c r="G26" i="4"/>
  <c r="H26" i="4"/>
  <c r="J26" i="4"/>
  <c r="L26" i="4"/>
  <c r="N21" i="5"/>
  <c r="O21" i="5"/>
  <c r="O16" i="2" l="1"/>
  <c r="Q16" i="2"/>
  <c r="P16" i="2"/>
  <c r="N16" i="2"/>
  <c r="J27" i="4"/>
  <c r="G27" i="4"/>
  <c r="I27" i="4"/>
  <c r="K27" i="4"/>
  <c r="M27" i="4"/>
  <c r="H27" i="4"/>
  <c r="L27" i="4"/>
  <c r="R16" i="2"/>
  <c r="R21" i="5"/>
  <c r="Q22" i="5" l="1"/>
  <c r="P22" i="5"/>
  <c r="L28" i="4"/>
  <c r="G28" i="4"/>
  <c r="J28" i="4"/>
  <c r="M28" i="4"/>
  <c r="H28" i="4"/>
  <c r="I28" i="4"/>
  <c r="K28" i="4"/>
  <c r="G17" i="2"/>
  <c r="H17" i="2"/>
  <c r="I17" i="2" s="1"/>
  <c r="L17" i="2" s="1"/>
  <c r="J17" i="2"/>
  <c r="K17" i="2" s="1"/>
  <c r="M17" i="2" s="1"/>
  <c r="K22" i="5"/>
  <c r="M22" i="5"/>
  <c r="G22" i="5"/>
  <c r="L22" i="5"/>
  <c r="I22" i="5"/>
  <c r="L29" i="4" l="1"/>
  <c r="J29" i="4"/>
  <c r="G29" i="4"/>
  <c r="H29" i="4"/>
  <c r="K29" i="4"/>
  <c r="M29" i="4"/>
  <c r="I29" i="4"/>
  <c r="P17" i="2"/>
  <c r="N17" i="2"/>
  <c r="Q17" i="2"/>
  <c r="O17" i="2"/>
  <c r="N22" i="5"/>
  <c r="O22" i="5"/>
  <c r="R22" i="5"/>
  <c r="Q23" i="5" l="1"/>
  <c r="P23" i="5"/>
  <c r="G30" i="4"/>
  <c r="M30" i="4"/>
  <c r="I30" i="4"/>
  <c r="L30" i="4"/>
  <c r="K30" i="4"/>
  <c r="H30" i="4"/>
  <c r="J30" i="4"/>
  <c r="R17" i="2"/>
  <c r="K23" i="5"/>
  <c r="I23" i="5"/>
  <c r="L23" i="5"/>
  <c r="M23" i="5"/>
  <c r="N23" i="5" s="1"/>
  <c r="G23" i="5"/>
  <c r="L31" i="4" l="1"/>
  <c r="K31" i="4"/>
  <c r="G31" i="4"/>
  <c r="M31" i="4"/>
  <c r="I31" i="4"/>
  <c r="H31" i="4"/>
  <c r="J31" i="4"/>
  <c r="J18" i="2"/>
  <c r="K18" i="2" s="1"/>
  <c r="M18" i="2" s="1"/>
  <c r="H18" i="2"/>
  <c r="I18" i="2" s="1"/>
  <c r="L18" i="2" s="1"/>
  <c r="G18" i="2"/>
  <c r="R23" i="5"/>
  <c r="O23" i="5"/>
  <c r="Q24" i="5" l="1"/>
  <c r="P24" i="5"/>
  <c r="K32" i="4"/>
  <c r="I32" i="4"/>
  <c r="G32" i="4"/>
  <c r="M32" i="4"/>
  <c r="L32" i="4"/>
  <c r="J32" i="4"/>
  <c r="H32" i="4"/>
  <c r="P18" i="2"/>
  <c r="Q18" i="2"/>
  <c r="N18" i="2"/>
  <c r="O18" i="2"/>
  <c r="K24" i="5"/>
  <c r="M24" i="5"/>
  <c r="I24" i="5"/>
  <c r="L24" i="5" s="1"/>
  <c r="G24" i="5"/>
  <c r="G33" i="4" l="1"/>
  <c r="L33" i="4"/>
  <c r="H33" i="4"/>
  <c r="K33" i="4"/>
  <c r="M33" i="4"/>
  <c r="J33" i="4"/>
  <c r="I33" i="4"/>
  <c r="R18" i="2"/>
  <c r="N24" i="5"/>
  <c r="O24" i="5"/>
  <c r="J34" i="4" l="1"/>
  <c r="I34" i="4"/>
  <c r="L34" i="4"/>
  <c r="M34" i="4"/>
  <c r="H34" i="4"/>
  <c r="K34" i="4"/>
  <c r="G34" i="4"/>
  <c r="G19" i="2"/>
  <c r="J19" i="2"/>
  <c r="K19" i="2" s="1"/>
  <c r="M19" i="2" s="1"/>
  <c r="H19" i="2"/>
  <c r="I19" i="2" s="1"/>
  <c r="L19" i="2" s="1"/>
  <c r="R24" i="5"/>
  <c r="Q25" i="5" l="1"/>
  <c r="P25" i="5"/>
  <c r="I35" i="4"/>
  <c r="K35" i="4"/>
  <c r="J35" i="4"/>
  <c r="M35" i="4"/>
  <c r="H35" i="4"/>
  <c r="G35" i="4"/>
  <c r="L35" i="4"/>
  <c r="P19" i="2"/>
  <c r="Q19" i="2"/>
  <c r="N19" i="2"/>
  <c r="O19" i="2"/>
  <c r="K25" i="5"/>
  <c r="G25" i="5"/>
  <c r="L25" i="5"/>
  <c r="I25" i="5"/>
  <c r="M25" i="5"/>
  <c r="M36" i="4" l="1"/>
  <c r="G36" i="4"/>
  <c r="J36" i="4"/>
  <c r="I36" i="4"/>
  <c r="K36" i="4"/>
  <c r="H36" i="4"/>
  <c r="L36" i="4"/>
  <c r="R19" i="2"/>
  <c r="N25" i="5"/>
  <c r="O25" i="5"/>
  <c r="R25" i="5"/>
  <c r="P26" i="5" l="1"/>
  <c r="Q26" i="5"/>
  <c r="I37" i="4"/>
  <c r="M37" i="4"/>
  <c r="K37" i="4"/>
  <c r="G37" i="4"/>
  <c r="J37" i="4"/>
  <c r="L37" i="4"/>
  <c r="H37" i="4"/>
  <c r="J20" i="2"/>
  <c r="K20" i="2" s="1"/>
  <c r="M20" i="2" s="1"/>
  <c r="G20" i="2"/>
  <c r="H20" i="2"/>
  <c r="I20" i="2" s="1"/>
  <c r="L20" i="2" s="1"/>
  <c r="K26" i="5"/>
  <c r="I26" i="5"/>
  <c r="M26" i="5"/>
  <c r="L26" i="5"/>
  <c r="G26" i="5"/>
  <c r="J38" i="4" l="1"/>
  <c r="H38" i="4"/>
  <c r="I38" i="4"/>
  <c r="M38" i="4"/>
  <c r="G38" i="4"/>
  <c r="K38" i="4"/>
  <c r="L38" i="4"/>
  <c r="N20" i="2"/>
  <c r="P20" i="2"/>
  <c r="Q20" i="2"/>
  <c r="O20" i="2"/>
  <c r="O26" i="5"/>
  <c r="R26" i="5"/>
  <c r="N26" i="5"/>
  <c r="P27" i="5" l="1"/>
  <c r="Q27" i="5"/>
  <c r="K39" i="4"/>
  <c r="H39" i="4"/>
  <c r="M39" i="4"/>
  <c r="J39" i="4"/>
  <c r="G39" i="4"/>
  <c r="I39" i="4"/>
  <c r="L39" i="4"/>
  <c r="R20" i="2"/>
  <c r="K27" i="5"/>
  <c r="G27" i="5"/>
  <c r="M27" i="5"/>
  <c r="L27" i="5"/>
  <c r="I27" i="5"/>
  <c r="G40" i="4" l="1"/>
  <c r="I40" i="4"/>
  <c r="L40" i="4"/>
  <c r="J40" i="4"/>
  <c r="K40" i="4"/>
  <c r="M40" i="4"/>
  <c r="H40" i="4"/>
  <c r="G21" i="2"/>
  <c r="H21" i="2"/>
  <c r="I21" i="2" s="1"/>
  <c r="L21" i="2" s="1"/>
  <c r="J21" i="2"/>
  <c r="K21" i="2" s="1"/>
  <c r="M21" i="2" s="1"/>
  <c r="N27" i="5"/>
  <c r="R27" i="5"/>
  <c r="O27" i="5"/>
  <c r="Q28" i="5" l="1"/>
  <c r="P28" i="5"/>
  <c r="J41" i="4"/>
  <c r="M41" i="4"/>
  <c r="I41" i="4"/>
  <c r="G41" i="4"/>
  <c r="K41" i="4"/>
  <c r="L41" i="4"/>
  <c r="H41" i="4"/>
  <c r="N21" i="2"/>
  <c r="O21" i="2"/>
  <c r="P21" i="2"/>
  <c r="Q21" i="2"/>
  <c r="K28" i="5"/>
  <c r="R28" i="5"/>
  <c r="O28" i="5"/>
  <c r="I28" i="5"/>
  <c r="L28" i="5"/>
  <c r="G28" i="5"/>
  <c r="M28" i="5"/>
  <c r="N28" i="5"/>
  <c r="Q29" i="5" l="1"/>
  <c r="P29" i="5"/>
  <c r="J42" i="4"/>
  <c r="M42" i="4"/>
  <c r="I42" i="4"/>
  <c r="G42" i="4"/>
  <c r="K42" i="4"/>
  <c r="L42" i="4"/>
  <c r="H42" i="4"/>
  <c r="R21" i="2"/>
  <c r="K29" i="5"/>
  <c r="I29" i="5"/>
  <c r="M29" i="5"/>
  <c r="O29" i="5"/>
  <c r="G29" i="5"/>
  <c r="N29" i="5"/>
  <c r="R29" i="5"/>
  <c r="L29" i="5"/>
  <c r="Q30" i="5" l="1"/>
  <c r="P30" i="5"/>
  <c r="G22" i="2"/>
  <c r="J22" i="2"/>
  <c r="K22" i="2" s="1"/>
  <c r="M22" i="2" s="1"/>
  <c r="H22" i="2"/>
  <c r="I22" i="2" s="1"/>
  <c r="L22" i="2" s="1"/>
  <c r="K30" i="5"/>
  <c r="O30" i="5"/>
  <c r="L30" i="5"/>
  <c r="R30" i="5"/>
  <c r="N30" i="5"/>
  <c r="I30" i="5"/>
  <c r="M30" i="5"/>
  <c r="G30" i="5"/>
  <c r="P31" i="5" l="1"/>
  <c r="Q31" i="5"/>
  <c r="N22" i="2"/>
  <c r="O22" i="2"/>
  <c r="P22" i="2"/>
  <c r="Q22" i="2"/>
  <c r="K31" i="5"/>
  <c r="N31" i="5"/>
  <c r="R31" i="5"/>
  <c r="L31" i="5"/>
  <c r="G31" i="5"/>
  <c r="I31" i="5"/>
  <c r="O31" i="5"/>
  <c r="M31" i="5"/>
  <c r="Q32" i="5" l="1"/>
  <c r="P32" i="5"/>
  <c r="R22" i="2"/>
  <c r="K32" i="5"/>
  <c r="M32" i="5"/>
  <c r="N32" i="5"/>
  <c r="I32" i="5"/>
  <c r="G32" i="5"/>
  <c r="O32" i="5"/>
  <c r="R32" i="5"/>
  <c r="L32" i="5"/>
  <c r="Q33" i="5" l="1"/>
  <c r="P33" i="5"/>
  <c r="J23" i="2"/>
  <c r="K23" i="2" s="1"/>
  <c r="M23" i="2" s="1"/>
  <c r="H23" i="2"/>
  <c r="I23" i="2" s="1"/>
  <c r="L23" i="2" s="1"/>
  <c r="G23" i="2"/>
  <c r="K33" i="5"/>
  <c r="L33" i="5"/>
  <c r="M33" i="5"/>
  <c r="I33" i="5"/>
  <c r="O33" i="5"/>
  <c r="R33" i="5"/>
  <c r="N33" i="5"/>
  <c r="G33" i="5"/>
  <c r="Q34" i="5" l="1"/>
  <c r="P34" i="5"/>
  <c r="O23" i="2"/>
  <c r="Q23" i="2"/>
  <c r="P23" i="2"/>
  <c r="N23" i="2"/>
  <c r="K34" i="5"/>
  <c r="I34" i="5"/>
  <c r="L34" i="5"/>
  <c r="M34" i="5"/>
  <c r="O34" i="5"/>
  <c r="G34" i="5"/>
  <c r="R34" i="5"/>
  <c r="N34" i="5"/>
  <c r="R23" i="2" l="1"/>
  <c r="H24" i="2" s="1"/>
  <c r="I24" i="2" s="1"/>
  <c r="L24" i="2" s="1"/>
  <c r="Q35" i="5"/>
  <c r="P35" i="5"/>
  <c r="K35" i="5"/>
  <c r="N35" i="5"/>
  <c r="M35" i="5"/>
  <c r="I35" i="5"/>
  <c r="G35" i="5"/>
  <c r="L35" i="5"/>
  <c r="O35" i="5"/>
  <c r="R35" i="5"/>
  <c r="G24" i="2" l="1"/>
  <c r="J24" i="2"/>
  <c r="K24" i="2" s="1"/>
  <c r="M24" i="2" s="1"/>
  <c r="P24" i="2" s="1"/>
  <c r="Q36" i="5"/>
  <c r="P36" i="5"/>
  <c r="K36" i="5"/>
  <c r="O36" i="5"/>
  <c r="L36" i="5"/>
  <c r="I36" i="5"/>
  <c r="R36" i="5"/>
  <c r="G36" i="5"/>
  <c r="N36" i="5"/>
  <c r="M36" i="5"/>
  <c r="Q24" i="2" l="1"/>
  <c r="O24" i="2"/>
  <c r="N24" i="2"/>
  <c r="P37" i="5"/>
  <c r="Q37" i="5"/>
  <c r="R24" i="2"/>
  <c r="K37" i="5"/>
  <c r="I37" i="5"/>
  <c r="G37" i="5"/>
  <c r="L37" i="5"/>
  <c r="M37" i="5"/>
  <c r="O37" i="5"/>
  <c r="N37" i="5"/>
  <c r="R37" i="5"/>
  <c r="P38" i="5" l="1"/>
  <c r="Q38" i="5"/>
  <c r="H25" i="2"/>
  <c r="I25" i="2" s="1"/>
  <c r="L25" i="2" s="1"/>
  <c r="G25" i="2"/>
  <c r="J25" i="2"/>
  <c r="K25" i="2" s="1"/>
  <c r="M25" i="2" s="1"/>
  <c r="K38" i="5"/>
  <c r="I38" i="5"/>
  <c r="N38" i="5"/>
  <c r="M38" i="5"/>
  <c r="G38" i="5"/>
  <c r="L38" i="5"/>
  <c r="R38" i="5"/>
  <c r="O38" i="5"/>
  <c r="Q39" i="5" l="1"/>
  <c r="P39" i="5"/>
  <c r="O25" i="2"/>
  <c r="P25" i="2"/>
  <c r="N25" i="2"/>
  <c r="Q25" i="2"/>
  <c r="K39" i="5"/>
  <c r="R39" i="5"/>
  <c r="L39" i="5"/>
  <c r="N39" i="5"/>
  <c r="O39" i="5"/>
  <c r="G39" i="5"/>
  <c r="I39" i="5"/>
  <c r="M39" i="5"/>
  <c r="Q40" i="5" l="1"/>
  <c r="P40" i="5"/>
  <c r="R25" i="2"/>
  <c r="K40" i="5"/>
  <c r="G40" i="5"/>
  <c r="L40" i="5"/>
  <c r="O40" i="5"/>
  <c r="M40" i="5"/>
  <c r="I40" i="5"/>
  <c r="N40" i="5"/>
  <c r="R40" i="5"/>
  <c r="Q41" i="5" l="1"/>
  <c r="P41" i="5"/>
  <c r="G26" i="2"/>
  <c r="J26" i="2"/>
  <c r="K26" i="2" s="1"/>
  <c r="M26" i="2" s="1"/>
  <c r="H26" i="2"/>
  <c r="I26" i="2" s="1"/>
  <c r="L26" i="2" s="1"/>
  <c r="K41" i="5"/>
  <c r="G41" i="5"/>
  <c r="I41" i="5"/>
  <c r="M41" i="5"/>
  <c r="R41" i="5"/>
  <c r="N41" i="5"/>
  <c r="L41" i="5"/>
  <c r="O41" i="5"/>
  <c r="Q42" i="5" l="1"/>
  <c r="P42" i="5"/>
  <c r="N26" i="2"/>
  <c r="Q26" i="2"/>
  <c r="O26" i="2"/>
  <c r="P26" i="2"/>
  <c r="K42" i="5"/>
  <c r="M42" i="5"/>
  <c r="I42" i="5"/>
  <c r="G42" i="5"/>
  <c r="R42" i="5"/>
  <c r="L42" i="5"/>
  <c r="N42" i="5"/>
  <c r="O42" i="5"/>
  <c r="R26" i="2" l="1"/>
  <c r="H27" i="2" s="1"/>
  <c r="I27" i="2" s="1"/>
  <c r="L27" i="2" s="1"/>
  <c r="G27" i="2" l="1"/>
  <c r="J27" i="2"/>
  <c r="K27" i="2" s="1"/>
  <c r="M27" i="2" s="1"/>
  <c r="P27" i="2" s="1"/>
  <c r="O27" i="2" l="1"/>
  <c r="Q27" i="2"/>
  <c r="R27" i="2" s="1"/>
  <c r="N27" i="2"/>
  <c r="J28" i="2" l="1"/>
  <c r="K28" i="2" s="1"/>
  <c r="M28" i="2" s="1"/>
  <c r="H28" i="2"/>
  <c r="I28" i="2" s="1"/>
  <c r="L28" i="2" s="1"/>
  <c r="G28" i="2"/>
  <c r="N28" i="2" l="1"/>
  <c r="P28" i="2"/>
  <c r="O28" i="2"/>
  <c r="Q28" i="2"/>
  <c r="R28" i="2" l="1"/>
  <c r="G29" i="2" l="1"/>
  <c r="H29" i="2"/>
  <c r="I29" i="2" s="1"/>
  <c r="L29" i="2" s="1"/>
  <c r="J29" i="2"/>
  <c r="K29" i="2" s="1"/>
  <c r="M29" i="2" s="1"/>
  <c r="P29" i="2" l="1"/>
  <c r="Q29" i="2"/>
  <c r="N29" i="2"/>
  <c r="O29" i="2"/>
  <c r="R29" i="2" l="1"/>
  <c r="G30" i="2" l="1"/>
  <c r="J30" i="2"/>
  <c r="K30" i="2" s="1"/>
  <c r="M30" i="2" s="1"/>
  <c r="H30" i="2"/>
  <c r="I30" i="2" s="1"/>
  <c r="L30" i="2" s="1"/>
  <c r="O30" i="2" l="1"/>
  <c r="Q30" i="2"/>
  <c r="N30" i="2"/>
  <c r="P30" i="2"/>
  <c r="R30" i="2" l="1"/>
  <c r="G31" i="2" s="1"/>
  <c r="J31" i="2" l="1"/>
  <c r="K31" i="2" s="1"/>
  <c r="M31" i="2" s="1"/>
  <c r="H31" i="2"/>
  <c r="I31" i="2" s="1"/>
  <c r="L31" i="2" s="1"/>
  <c r="N31" i="2" l="1"/>
  <c r="P31" i="2"/>
  <c r="O31" i="2"/>
  <c r="Q31" i="2"/>
  <c r="R31" i="2" s="1"/>
  <c r="H32" i="2" l="1"/>
  <c r="I32" i="2" s="1"/>
  <c r="L32" i="2" s="1"/>
  <c r="J32" i="2"/>
  <c r="K32" i="2" s="1"/>
  <c r="M32" i="2" s="1"/>
  <c r="G32" i="2"/>
  <c r="P32" i="2" l="1"/>
  <c r="O32" i="2"/>
  <c r="N32" i="2"/>
  <c r="Q32" i="2"/>
  <c r="R32" i="2" s="1"/>
  <c r="H33" i="2" l="1"/>
  <c r="I33" i="2" s="1"/>
  <c r="L33" i="2" s="1"/>
  <c r="J33" i="2"/>
  <c r="K33" i="2" s="1"/>
  <c r="M33" i="2" s="1"/>
  <c r="G33" i="2"/>
  <c r="Q33" i="2" l="1"/>
  <c r="N33" i="2"/>
  <c r="O33" i="2"/>
  <c r="P33" i="2"/>
  <c r="R33" i="2" s="1"/>
  <c r="J34" i="2" l="1"/>
  <c r="K34" i="2" s="1"/>
  <c r="M34" i="2" s="1"/>
  <c r="G34" i="2"/>
  <c r="H34" i="2"/>
  <c r="I34" i="2" s="1"/>
  <c r="L34" i="2" s="1"/>
  <c r="Q34" i="2" l="1"/>
  <c r="N34" i="2"/>
  <c r="P34" i="2"/>
  <c r="R34" i="2" s="1"/>
  <c r="O34" i="2"/>
  <c r="G35" i="2" l="1"/>
  <c r="J35" i="2"/>
  <c r="K35" i="2" s="1"/>
  <c r="M35" i="2" s="1"/>
  <c r="H35" i="2"/>
  <c r="I35" i="2" s="1"/>
  <c r="L35" i="2" s="1"/>
  <c r="Q35" i="2" l="1"/>
  <c r="N35" i="2"/>
  <c r="P35" i="2"/>
  <c r="R35" i="2" s="1"/>
  <c r="O35" i="2"/>
  <c r="J36" i="2" l="1"/>
  <c r="K36" i="2" s="1"/>
  <c r="M36" i="2" s="1"/>
  <c r="H36" i="2"/>
  <c r="I36" i="2" s="1"/>
  <c r="L36" i="2" s="1"/>
  <c r="G36" i="2"/>
  <c r="N36" i="2" l="1"/>
  <c r="P36" i="2"/>
  <c r="O36" i="2"/>
  <c r="Q36" i="2"/>
  <c r="R36" i="2" l="1"/>
  <c r="H37" i="2" l="1"/>
  <c r="G37" i="2"/>
  <c r="I37" i="2"/>
  <c r="L37" i="2" s="1"/>
  <c r="J37" i="2"/>
  <c r="K37" i="2" s="1"/>
  <c r="M37" i="2" s="1"/>
  <c r="O37" i="2" l="1"/>
  <c r="N37" i="2"/>
  <c r="P37" i="2"/>
  <c r="Q37" i="2"/>
  <c r="R37" i="2" l="1"/>
  <c r="J38" i="2" s="1"/>
  <c r="K38" i="2" s="1"/>
  <c r="M38" i="2" s="1"/>
  <c r="H38" i="2"/>
  <c r="I38" i="2" s="1"/>
  <c r="L38" i="2" s="1"/>
  <c r="G38" i="2" l="1"/>
  <c r="Q38" i="2"/>
  <c r="N38" i="2"/>
  <c r="O38" i="2"/>
  <c r="P38" i="2"/>
  <c r="R38" i="2" s="1"/>
  <c r="H39" i="2" l="1"/>
  <c r="J39" i="2"/>
  <c r="K39" i="2" s="1"/>
  <c r="M39" i="2" s="1"/>
  <c r="G39" i="2"/>
  <c r="I39" i="2"/>
  <c r="L39" i="2" s="1"/>
  <c r="N39" i="2" l="1"/>
  <c r="P39" i="2"/>
  <c r="O39" i="2"/>
  <c r="Q39" i="2"/>
  <c r="R39" i="2" l="1"/>
  <c r="H40" i="2" l="1"/>
  <c r="I40" i="2"/>
  <c r="L40" i="2" s="1"/>
  <c r="G40" i="2"/>
  <c r="K40" i="2"/>
  <c r="M40" i="2" s="1"/>
  <c r="J40" i="2"/>
  <c r="O40" i="2" l="1"/>
  <c r="P40" i="2"/>
  <c r="N40" i="2"/>
  <c r="Q40" i="2"/>
  <c r="R40" i="2" l="1"/>
  <c r="J41" i="2" l="1"/>
  <c r="H41" i="2"/>
  <c r="K41" i="2"/>
  <c r="M41" i="2" s="1"/>
  <c r="G41" i="2"/>
  <c r="I41" i="2"/>
  <c r="L41" i="2" s="1"/>
  <c r="P41" i="2" l="1"/>
  <c r="O41" i="2"/>
  <c r="Q41" i="2"/>
  <c r="N41" i="2"/>
  <c r="R41" i="2" l="1"/>
  <c r="J42" i="2" l="1"/>
  <c r="G42" i="2"/>
  <c r="H42" i="2"/>
  <c r="I42" i="2" s="1"/>
  <c r="L42" i="2" s="1"/>
  <c r="K42" i="2"/>
  <c r="M42" i="2"/>
  <c r="Q42" i="2" l="1"/>
  <c r="N42" i="2"/>
  <c r="P42" i="2"/>
  <c r="R42" i="2" s="1"/>
  <c r="O42" i="2"/>
</calcChain>
</file>

<file path=xl/sharedStrings.xml><?xml version="1.0" encoding="utf-8"?>
<sst xmlns="http://schemas.openxmlformats.org/spreadsheetml/2006/main" count="55" uniqueCount="21">
  <si>
    <t>Vigueur Initiale</t>
  </si>
  <si>
    <t>Agilité Initiale</t>
  </si>
  <si>
    <t>Joueur 1:</t>
  </si>
  <si>
    <t>Joueur 2:</t>
  </si>
  <si>
    <t>Vérification</t>
  </si>
  <si>
    <t>Simulation</t>
  </si>
  <si>
    <t>Agilité Aléatoire</t>
  </si>
  <si>
    <t>Agilité Ajustée</t>
  </si>
  <si>
    <t>Agilité Aléatoire J1</t>
  </si>
  <si>
    <t>Agilité Ajustée J1</t>
  </si>
  <si>
    <t>Agilité Aléatoire J2</t>
  </si>
  <si>
    <t>Agilité Ajustée J2</t>
  </si>
  <si>
    <t>Impact Combat J1</t>
  </si>
  <si>
    <t>Impact Combat J2</t>
  </si>
  <si>
    <t>Résultat</t>
  </si>
  <si>
    <t>Vigueur J1</t>
  </si>
  <si>
    <t>Vigueur J2</t>
  </si>
  <si>
    <t>Tour</t>
  </si>
  <si>
    <t>État</t>
  </si>
  <si>
    <t>diff impact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</si>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</sst>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2" x14ac:knownFonts="1">
    <font>
      <sz val="11"/>
      <color theme="1"/>
      <name val="Aptos Narrow"/>
      <family val="2"/>
      <scheme val="minor"/>
    </font>
    <font>
      <sz val="14"/>
      <color theme="1"/>
      <name val="Consolas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164" fontId="0" fillId="0" borderId="0" xfId="0" applyNumberFormat="1"/>
    <xf numFmtId="0" fontId="0" fillId="0" borderId="8" xfId="0" applyBorder="1"/>
    <xf numFmtId="0" fontId="0" fillId="0" borderId="0" xfId="0" applyAlignment="1">
      <alignment horizontal="right"/>
    </xf>
    <xf numFmtId="0" fontId="0" fillId="0" borderId="5" xfId="0" applyBorder="1" applyAlignment="1">
      <alignment horizontal="righ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596900</xdr:colOff>
      <xdr:row>5</xdr:row>
      <xdr:rowOff>0</xdr:rowOff>
    </xdr:from>
    <xdr:to>
      <xdr:col>5</xdr:col>
      <xdr:colOff>0</xdr:colOff>
      <xdr:row>8</xdr:row>
      <xdr:rowOff>21590</xdr:rowOff>
    </xdr:to>
    <xdr:sp macro="" textlink="">
      <xdr:nvSpPr>
        <xdr:cNvPr id="2104" name="CommandButton1" hidden="1">
          <a:extLst>
            <a:ext uri="{63B3BB69-23CF-44E3-9099-C40C66FF867C}">
              <a14:compatExt xmlns:a14="http://schemas.microsoft.com/office/drawing/2010/main" spid="_x0000_s2104"/>
            </a:ext>
            <a:ext uri="{FF2B5EF4-FFF2-40B4-BE49-F238E27FC236}">
              <a16:creationId xmlns:a16="http://schemas.microsoft.com/office/drawing/2014/main" id="{00000000-0008-0000-01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358140</xdr:colOff>
      <xdr:row>5</xdr:row>
      <xdr:rowOff>0</xdr:rowOff>
    </xdr:from>
    <xdr:to>
      <xdr:col>5</xdr:col>
      <xdr:colOff>0</xdr:colOff>
      <xdr:row>8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427A316F-4E14-FA36-E601-A4BFB641CE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" y="929640"/>
          <a:ext cx="3177540" cy="5638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EA9B-35BF-4F97-85B3-5B889FCFA99B}">
  <sheetPr codeName="Sheet1"/>
  <dimension ref="A1"/>
  <sheetViews>
    <sheetView zoomScale="115" zoomScaleNormal="115" workbookViewId="0">
      <selection activeCell="B2" sqref="B2"/>
    </sheetView>
  </sheetViews>
  <sheetFormatPr defaultColWidth="9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2B71-3379-4B14-BC6E-0E9F60949344}">
  <sheetPr codeName="Sheet2"/>
  <dimension ref="B1:S42"/>
  <sheetViews>
    <sheetView tabSelected="1" zoomScaleNormal="115" workbookViewId="0">
      <selection activeCell="T22" sqref="T22"/>
    </sheetView>
  </sheetViews>
  <sheetFormatPr defaultColWidth="8.77734375" defaultRowHeight="14.4" x14ac:dyDescent="0.3"/>
  <cols>
    <col min="1" max="1" width="8.77734375" style="14"/>
    <col min="2" max="2" width="9.44140625" style="14" customWidth="1"/>
    <col min="3" max="3" width="12.44140625" style="14" customWidth="1"/>
    <col min="4" max="4" width="11.77734375" style="14" customWidth="1"/>
    <col min="5" max="5" width="9.109375" style="14" customWidth="1"/>
    <col min="6" max="7" width="8.77734375" style="14"/>
    <col min="8" max="8" width="16.44140625" style="14" customWidth="1"/>
    <col min="9" max="9" width="14.109375" style="14" customWidth="1"/>
    <col min="10" max="10" width="15.6640625" style="14" customWidth="1"/>
    <col min="11" max="11" width="14.77734375" style="14" customWidth="1"/>
    <col min="12" max="12" width="15.6640625" style="14" customWidth="1"/>
    <col min="13" max="13" width="15.109375" style="14" customWidth="1"/>
    <col min="14" max="14" width="11.44140625" style="14" customWidth="1"/>
    <col min="15" max="15" width="11.6640625" style="14" customWidth="1"/>
    <col min="16" max="16" width="9.6640625" style="14" customWidth="1"/>
    <col min="17" max="18" width="8.77734375" style="14"/>
    <col min="19" max="19" width="10" style="14" customWidth="1"/>
    <col min="20" max="16384" width="8.77734375" style="14"/>
  </cols>
  <sheetData>
    <row r="1" spans="2:19" ht="15" thickBot="1" x14ac:dyDescent="0.35">
      <c r="E1" s="14" t="s">
        <v>20</v>
      </c>
    </row>
    <row r="2" spans="2:19" x14ac:dyDescent="0.3">
      <c r="B2" s="2"/>
      <c r="C2" s="3" t="s">
        <v>0</v>
      </c>
      <c r="D2" s="3" t="s">
        <v>1</v>
      </c>
      <c r="E2" s="4" t="s">
        <v>4</v>
      </c>
      <c r="G2" s="10" t="s">
        <v>5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2"/>
    </row>
    <row r="3" spans="2:19" x14ac:dyDescent="0.3">
      <c r="B3" s="5" t="s">
        <v>2</v>
      </c>
      <c r="C3" s="14">
        <v>79.75</v>
      </c>
      <c r="D3">
        <f>90-C3</f>
        <v>10.25</v>
      </c>
      <c r="E3" s="6" t="str">
        <f>IF(C3+D3=90, "OK", "Erreur : Doit être 90")</f>
        <v>OK</v>
      </c>
      <c r="G3" s="5" t="s">
        <v>17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19</v>
      </c>
      <c r="O3" t="s">
        <v>14</v>
      </c>
      <c r="P3" t="s">
        <v>15</v>
      </c>
      <c r="Q3" t="s">
        <v>16</v>
      </c>
      <c r="R3" s="13" t="s">
        <v>18</v>
      </c>
      <c r="S3"/>
    </row>
    <row r="4" spans="2:19" ht="15" thickBot="1" x14ac:dyDescent="0.35">
      <c r="B4" s="7" t="s">
        <v>3</v>
      </c>
      <c r="C4" s="15">
        <v>79.239999999999995</v>
      </c>
      <c r="D4" s="8">
        <f>90-C4</f>
        <v>10.760000000000005</v>
      </c>
      <c r="E4" s="9" t="str">
        <f>IF(C4+D4=90, "OK", "Erreur : Doit être 90")</f>
        <v>OK</v>
      </c>
      <c r="G4" s="5">
        <f>IF(AND(E3 = "OK", E4 = "OK"), 1, "")</f>
        <v>1</v>
      </c>
      <c r="H4" s="16">
        <f ca="1">IF(AND(E3 = "OK", E4 = "OK"), _xlfn.NORM.INV(RAND(), 40, 25), "")</f>
        <v>45.938627373488607</v>
      </c>
      <c r="I4">
        <f ca="1">IF(AND(E3 = "OK", E4 = "OK"), AVERAGE(H4, D3), "")</f>
        <v>28.094313686744304</v>
      </c>
      <c r="J4">
        <f ca="1">IF(AND(E3 = "OK", E4 = "OK"), _xlfn.NORM.INV(RAND(), 40, 25), "")</f>
        <v>38.345797907598282</v>
      </c>
      <c r="K4">
        <f ca="1">IF(AND(E3 = "OK", E4 = "OK"), AVERAGE(J4,D4), "")</f>
        <v>24.552898953799144</v>
      </c>
      <c r="L4">
        <f ca="1">IF(AND(E3 = "OK", E4 = "OK"), (C3 * 0.7) + (I4 * 0.4), "")</f>
        <v>67.062725474697714</v>
      </c>
      <c r="M4">
        <f ca="1">IF(AND(E3 = "OK", E4 = "OK"), (C4 * 0.7) + (K4 * 0.4), "")</f>
        <v>65.289159581519655</v>
      </c>
      <c r="N4">
        <f ca="1">IF(AND(E3 = "OK", E4 = "OK"), ABS(L4-M4), "")</f>
        <v>1.7735658931780591</v>
      </c>
      <c r="O4" t="str">
        <f ca="1">IF(AND(E3 = "OK", E4 = "OK"), IF(L4&gt;M4, "J1", "J2"), "")</f>
        <v>J1</v>
      </c>
      <c r="P4">
        <f ca="1">IF(AND(E3 = "OK", E4 = "OK"), IF(L4&gt;M4, C3 + ABS(L4-M4)*0.2, C3 - ABS(L4-M4)*0.2),"")</f>
        <v>80.104713178635606</v>
      </c>
      <c r="Q4">
        <f ca="1">IF(AND(E3 = "OK", E4 = "OK"), IF(L4&lt;M4, C4 + ABS(L4-M4)*0.2, C4 - ABS(L4-M4)*0.2), "")</f>
        <v>78.885286821364389</v>
      </c>
      <c r="R4" s="13" t="str">
        <f ca="1">IF(AND(E3 = "OK", E4 = "OK"), IF(OR(P4&lt;=0, Q4&lt;=0), "Arret", "Continuer"), "Erreur")</f>
        <v>Continuer</v>
      </c>
      <c r="S4"/>
    </row>
    <row r="5" spans="2:19" x14ac:dyDescent="0.3">
      <c r="G5" s="5">
        <f t="shared" ref="G5:G42" ca="1" si="0">IF(R4 = "Continuer", G4+1, "")</f>
        <v>2</v>
      </c>
      <c r="H5">
        <f ca="1">IF(R4 = "Continuer", _xlfn.NORM.INV(RAND(), 40, 25), "")</f>
        <v>7.1769381771350282</v>
      </c>
      <c r="I5">
        <f ca="1">IF(R4 = "Continuer", AVERAGE(H5,I4), "")</f>
        <v>17.635625931939664</v>
      </c>
      <c r="J5">
        <f ca="1">IF(R4 = "Continuer", _xlfn.NORM.INV(RAND(), 40, 25), "")</f>
        <v>40.713368568930036</v>
      </c>
      <c r="K5">
        <f ca="1">IF(R4 = "Continuer", AVERAGE(J5,K4), "")</f>
        <v>32.63313376136459</v>
      </c>
      <c r="L5">
        <f t="shared" ref="L5:L42" ca="1" si="1">IF(R4 = "Continuer", (P4 * 0.7) + (I5 * 0.4), "")</f>
        <v>63.127549597820789</v>
      </c>
      <c r="M5">
        <f t="shared" ref="M5:M42" ca="1" si="2">IF(R4 = "Continuer", (Q4 * 0.7) + (K5 * 0.4), "")</f>
        <v>68.272954279500908</v>
      </c>
      <c r="N5">
        <f ca="1">IF(R4 = "Continuer", ABS(L5-M5), "")</f>
        <v>5.1454046816801196</v>
      </c>
      <c r="O5" t="str">
        <f t="shared" ref="O5:O42" ca="1" si="3">IF(R4 = "Continuer", IF(L5&gt;M5, "J1", "J2"), "")</f>
        <v>J2</v>
      </c>
      <c r="P5">
        <f ca="1">IF(R4 = "Continuer", IF(L5&gt;M5, P4 + ABS(L5-M5)*0.2, P4 - ABS(L5-M5)*0.2), "")</f>
        <v>79.075632242299577</v>
      </c>
      <c r="Q5">
        <f ca="1">IF(R4 = "Continuer", IF(L5&lt;M5, Q4 + ABS(L5-M5)*0.2, Q4 - ABS(L5-M5)*0.2), "")</f>
        <v>79.914367757700418</v>
      </c>
      <c r="R5" s="13" t="str">
        <f ca="1">IF(R4 = "Continuer", IF(OR(P5&lt;=0, Q5&lt;=0), "Arret", "Continuer"), "")</f>
        <v>Continuer</v>
      </c>
      <c r="S5"/>
    </row>
    <row r="6" spans="2:19" x14ac:dyDescent="0.3">
      <c r="G6" s="5">
        <f t="shared" ca="1" si="0"/>
        <v>3</v>
      </c>
      <c r="H6">
        <f t="shared" ref="H6:H36" ca="1" si="4">IF(R5 = "Continuer", _xlfn.NORM.INV(RAND(), 40, 25), "")</f>
        <v>30.66983433729424</v>
      </c>
      <c r="I6">
        <f t="shared" ref="I6:I42" ca="1" si="5">IF(R5 = "Continuer", AVERAGE(H6,I5), "")</f>
        <v>24.152730134616952</v>
      </c>
      <c r="J6">
        <f t="shared" ref="J6:J36" ca="1" si="6">IF(R5 = "Continuer", _xlfn.NORM.INV(RAND(), 40, 25), "")</f>
        <v>6.1056665672098163</v>
      </c>
      <c r="K6">
        <f t="shared" ref="K6:K41" ca="1" si="7">IF(R5 = "Continuer", AVERAGE(J6,K5), "")</f>
        <v>19.369400164287203</v>
      </c>
      <c r="L6">
        <f t="shared" ca="1" si="1"/>
        <v>65.014034623456482</v>
      </c>
      <c r="M6">
        <f t="shared" ca="1" si="2"/>
        <v>63.687817496105168</v>
      </c>
      <c r="N6">
        <f t="shared" ref="N6:N42" ca="1" si="8">IF(R5 = "Continuer", ABS(L6-M6), "")</f>
        <v>1.3262171273513133</v>
      </c>
      <c r="O6" t="str">
        <f t="shared" ca="1" si="3"/>
        <v>J1</v>
      </c>
      <c r="P6">
        <f t="shared" ref="P6:P42" ca="1" si="9">IF(R5 = "Continuer", IF(L6&gt;M6, P5 + ABS(L6-M6)*0.2, P5 - ABS(L6-M6)*0.2), "")</f>
        <v>79.340875667769836</v>
      </c>
      <c r="Q6">
        <f t="shared" ref="Q6:Q42" ca="1" si="10">IF(R5 = "Continuer", IF(L6&lt;M6, Q5 + ABS(L6-M6)*0.2, Q5 - ABS(L6-M6)*0.2), "")</f>
        <v>79.649124332230159</v>
      </c>
      <c r="R6" s="13" t="str">
        <f t="shared" ref="R6:R36" ca="1" si="11">IF(R5 = "Continuer", IF(OR(P6&lt;=0, Q6&lt;=0), "Arret", "Continuer"), "")</f>
        <v>Continuer</v>
      </c>
      <c r="S6"/>
    </row>
    <row r="7" spans="2:19" x14ac:dyDescent="0.3">
      <c r="G7" s="5">
        <f t="shared" ca="1" si="0"/>
        <v>4</v>
      </c>
      <c r="H7">
        <f t="shared" ca="1" si="4"/>
        <v>40.870752583723835</v>
      </c>
      <c r="I7">
        <f t="shared" ca="1" si="5"/>
        <v>32.511741359170394</v>
      </c>
      <c r="J7">
        <f t="shared" ca="1" si="6"/>
        <v>100.75900857898287</v>
      </c>
      <c r="K7">
        <f t="shared" ca="1" si="7"/>
        <v>60.064204371635036</v>
      </c>
      <c r="L7">
        <f t="shared" ca="1" si="1"/>
        <v>68.54330951110704</v>
      </c>
      <c r="M7">
        <f t="shared" ca="1" si="2"/>
        <v>79.780068781215121</v>
      </c>
      <c r="N7">
        <f t="shared" ca="1" si="8"/>
        <v>11.236759270108081</v>
      </c>
      <c r="O7" t="str">
        <f t="shared" ca="1" si="3"/>
        <v>J2</v>
      </c>
      <c r="P7">
        <f t="shared" ca="1" si="9"/>
        <v>77.09352381374822</v>
      </c>
      <c r="Q7">
        <f t="shared" ca="1" si="10"/>
        <v>81.896476186251775</v>
      </c>
      <c r="R7" s="13" t="str">
        <f t="shared" ca="1" si="11"/>
        <v>Continuer</v>
      </c>
      <c r="S7"/>
    </row>
    <row r="8" spans="2:19" x14ac:dyDescent="0.3">
      <c r="G8" s="5">
        <f t="shared" ca="1" si="0"/>
        <v>5</v>
      </c>
      <c r="H8">
        <f t="shared" ca="1" si="4"/>
        <v>37.68998388007892</v>
      </c>
      <c r="I8">
        <f t="shared" ca="1" si="5"/>
        <v>35.100862619624657</v>
      </c>
      <c r="J8">
        <f t="shared" ca="1" si="6"/>
        <v>20.804326128122682</v>
      </c>
      <c r="K8">
        <f t="shared" ca="1" si="7"/>
        <v>40.434265249878862</v>
      </c>
      <c r="L8">
        <f t="shared" ca="1" si="1"/>
        <v>68.00581171747362</v>
      </c>
      <c r="M8">
        <f t="shared" ca="1" si="2"/>
        <v>73.501239430327786</v>
      </c>
      <c r="N8">
        <f t="shared" ca="1" si="8"/>
        <v>5.4954277128541662</v>
      </c>
      <c r="O8" t="str">
        <f t="shared" ca="1" si="3"/>
        <v>J2</v>
      </c>
      <c r="P8">
        <f t="shared" ca="1" si="9"/>
        <v>75.994438271177387</v>
      </c>
      <c r="Q8">
        <f t="shared" ca="1" si="10"/>
        <v>82.995561728822608</v>
      </c>
      <c r="R8" s="13" t="str">
        <f t="shared" ca="1" si="11"/>
        <v>Continuer</v>
      </c>
      <c r="S8"/>
    </row>
    <row r="9" spans="2:19" x14ac:dyDescent="0.3">
      <c r="G9" s="5">
        <f t="shared" ca="1" si="0"/>
        <v>6</v>
      </c>
      <c r="H9">
        <f t="shared" ca="1" si="4"/>
        <v>31.67650733706175</v>
      </c>
      <c r="I9">
        <f t="shared" ca="1" si="5"/>
        <v>33.388684978343207</v>
      </c>
      <c r="J9">
        <f t="shared" ca="1" si="6"/>
        <v>23.553120528694013</v>
      </c>
      <c r="K9">
        <f t="shared" ca="1" si="7"/>
        <v>31.993692889286436</v>
      </c>
      <c r="L9">
        <f t="shared" ca="1" si="1"/>
        <v>66.551580781161448</v>
      </c>
      <c r="M9">
        <f t="shared" ca="1" si="2"/>
        <v>70.894370365890396</v>
      </c>
      <c r="N9">
        <f t="shared" ca="1" si="8"/>
        <v>4.3427895847289477</v>
      </c>
      <c r="O9" t="str">
        <f t="shared" ca="1" si="3"/>
        <v>J2</v>
      </c>
      <c r="P9">
        <f t="shared" ca="1" si="9"/>
        <v>75.125880354231597</v>
      </c>
      <c r="Q9">
        <f t="shared" ca="1" si="10"/>
        <v>83.864119645768398</v>
      </c>
      <c r="R9" s="13" t="str">
        <f t="shared" ca="1" si="11"/>
        <v>Continuer</v>
      </c>
      <c r="S9"/>
    </row>
    <row r="10" spans="2:19" x14ac:dyDescent="0.3">
      <c r="G10" s="5">
        <f t="shared" ca="1" si="0"/>
        <v>7</v>
      </c>
      <c r="H10">
        <f t="shared" ca="1" si="4"/>
        <v>66.874088960751649</v>
      </c>
      <c r="I10">
        <f t="shared" ca="1" si="5"/>
        <v>50.131386969547428</v>
      </c>
      <c r="J10">
        <f t="shared" ca="1" si="6"/>
        <v>24.658514443385489</v>
      </c>
      <c r="K10">
        <f t="shared" ca="1" si="7"/>
        <v>28.32610366633596</v>
      </c>
      <c r="L10">
        <f t="shared" ca="1" si="1"/>
        <v>72.640671035781082</v>
      </c>
      <c r="M10">
        <f t="shared" ca="1" si="2"/>
        <v>70.035325218572254</v>
      </c>
      <c r="N10">
        <f t="shared" ca="1" si="8"/>
        <v>2.6053458172088284</v>
      </c>
      <c r="O10" t="str">
        <f t="shared" ca="1" si="3"/>
        <v>J1</v>
      </c>
      <c r="P10">
        <f t="shared" ca="1" si="9"/>
        <v>75.646949517673363</v>
      </c>
      <c r="Q10">
        <f t="shared" ca="1" si="10"/>
        <v>83.343050482326632</v>
      </c>
      <c r="R10" s="13" t="str">
        <f t="shared" ca="1" si="11"/>
        <v>Continuer</v>
      </c>
      <c r="S10"/>
    </row>
    <row r="11" spans="2:19" x14ac:dyDescent="0.3">
      <c r="G11" s="5">
        <f t="shared" ca="1" si="0"/>
        <v>8</v>
      </c>
      <c r="H11">
        <f t="shared" ca="1" si="4"/>
        <v>35.448970771283115</v>
      </c>
      <c r="I11">
        <f t="shared" ca="1" si="5"/>
        <v>42.790178870415275</v>
      </c>
      <c r="J11">
        <f t="shared" ca="1" si="6"/>
        <v>19.413906894848939</v>
      </c>
      <c r="K11">
        <f t="shared" ca="1" si="7"/>
        <v>23.870005280592451</v>
      </c>
      <c r="L11">
        <f t="shared" ca="1" si="1"/>
        <v>70.068936210537458</v>
      </c>
      <c r="M11">
        <f t="shared" ca="1" si="2"/>
        <v>67.888137449865624</v>
      </c>
      <c r="N11">
        <f t="shared" ca="1" si="8"/>
        <v>2.1807987606718342</v>
      </c>
      <c r="O11" t="str">
        <f t="shared" ca="1" si="3"/>
        <v>J1</v>
      </c>
      <c r="P11">
        <f t="shared" ca="1" si="9"/>
        <v>76.083109269807736</v>
      </c>
      <c r="Q11">
        <f t="shared" ca="1" si="10"/>
        <v>82.906890730192259</v>
      </c>
      <c r="R11" s="13" t="str">
        <f t="shared" ca="1" si="11"/>
        <v>Continuer</v>
      </c>
      <c r="S11"/>
    </row>
    <row r="12" spans="2:19" x14ac:dyDescent="0.3">
      <c r="G12" s="5">
        <f t="shared" ca="1" si="0"/>
        <v>9</v>
      </c>
      <c r="H12">
        <f t="shared" ca="1" si="4"/>
        <v>12.664022468751803</v>
      </c>
      <c r="I12">
        <f t="shared" ca="1" si="5"/>
        <v>27.727100669583539</v>
      </c>
      <c r="J12">
        <f t="shared" ca="1" si="6"/>
        <v>57.443637281901857</v>
      </c>
      <c r="K12">
        <f t="shared" ca="1" si="7"/>
        <v>40.656821281247154</v>
      </c>
      <c r="L12">
        <f t="shared" ca="1" si="1"/>
        <v>64.34901675669883</v>
      </c>
      <c r="M12">
        <f t="shared" ca="1" si="2"/>
        <v>74.297552023633443</v>
      </c>
      <c r="N12">
        <f t="shared" ca="1" si="8"/>
        <v>9.9485352669346128</v>
      </c>
      <c r="O12" t="str">
        <f t="shared" ca="1" si="3"/>
        <v>J2</v>
      </c>
      <c r="P12">
        <f t="shared" ca="1" si="9"/>
        <v>74.093402216420813</v>
      </c>
      <c r="Q12">
        <f t="shared" ca="1" si="10"/>
        <v>84.896597783579182</v>
      </c>
      <c r="R12" s="13" t="str">
        <f t="shared" ca="1" si="11"/>
        <v>Continuer</v>
      </c>
      <c r="S12"/>
    </row>
    <row r="13" spans="2:19" x14ac:dyDescent="0.3">
      <c r="G13" s="5">
        <f t="shared" ca="1" si="0"/>
        <v>10</v>
      </c>
      <c r="H13">
        <f t="shared" ca="1" si="4"/>
        <v>70.364628698568964</v>
      </c>
      <c r="I13">
        <f t="shared" ca="1" si="5"/>
        <v>49.04586468407625</v>
      </c>
      <c r="J13">
        <f t="shared" ca="1" si="6"/>
        <v>27.521226356410278</v>
      </c>
      <c r="K13">
        <f t="shared" ca="1" si="7"/>
        <v>34.089023818828714</v>
      </c>
      <c r="L13">
        <f t="shared" ca="1" si="1"/>
        <v>71.483727425125068</v>
      </c>
      <c r="M13">
        <f t="shared" ca="1" si="2"/>
        <v>73.063227976036899</v>
      </c>
      <c r="N13">
        <f t="shared" ca="1" si="8"/>
        <v>1.5795005509118312</v>
      </c>
      <c r="O13" t="str">
        <f t="shared" ca="1" si="3"/>
        <v>J2</v>
      </c>
      <c r="P13">
        <f t="shared" ca="1" si="9"/>
        <v>73.777502106238444</v>
      </c>
      <c r="Q13">
        <f t="shared" ca="1" si="10"/>
        <v>85.212497893761551</v>
      </c>
      <c r="R13" s="13" t="str">
        <f t="shared" ca="1" si="11"/>
        <v>Continuer</v>
      </c>
      <c r="S13"/>
    </row>
    <row r="14" spans="2:19" x14ac:dyDescent="0.3">
      <c r="G14" s="5">
        <f t="shared" ca="1" si="0"/>
        <v>11</v>
      </c>
      <c r="H14">
        <f t="shared" ca="1" si="4"/>
        <v>38.80868803989901</v>
      </c>
      <c r="I14">
        <f t="shared" ca="1" si="5"/>
        <v>43.92727636198763</v>
      </c>
      <c r="J14">
        <f t="shared" ca="1" si="6"/>
        <v>8.3414404979118437</v>
      </c>
      <c r="K14">
        <f t="shared" ca="1" si="7"/>
        <v>21.215232158370277</v>
      </c>
      <c r="L14">
        <f t="shared" ca="1" si="1"/>
        <v>69.215162019161966</v>
      </c>
      <c r="M14">
        <f t="shared" ca="1" si="2"/>
        <v>68.134841388981187</v>
      </c>
      <c r="N14">
        <f t="shared" ca="1" si="8"/>
        <v>1.0803206301807791</v>
      </c>
      <c r="O14" t="str">
        <f t="shared" ca="1" si="3"/>
        <v>J1</v>
      </c>
      <c r="P14">
        <f t="shared" ca="1" si="9"/>
        <v>73.993566232274603</v>
      </c>
      <c r="Q14">
        <f t="shared" ca="1" si="10"/>
        <v>84.996433767725392</v>
      </c>
      <c r="R14" s="13" t="str">
        <f t="shared" ca="1" si="11"/>
        <v>Continuer</v>
      </c>
      <c r="S14"/>
    </row>
    <row r="15" spans="2:19" x14ac:dyDescent="0.3">
      <c r="G15" s="5">
        <f t="shared" ca="1" si="0"/>
        <v>12</v>
      </c>
      <c r="H15">
        <f t="shared" ca="1" si="4"/>
        <v>49.469876869432859</v>
      </c>
      <c r="I15">
        <f t="shared" ca="1" si="5"/>
        <v>46.698576615710245</v>
      </c>
      <c r="J15">
        <f t="shared" ca="1" si="6"/>
        <v>24.135690126265118</v>
      </c>
      <c r="K15">
        <f t="shared" ca="1" si="7"/>
        <v>22.675461142317697</v>
      </c>
      <c r="L15">
        <f t="shared" ca="1" si="1"/>
        <v>70.474927008876321</v>
      </c>
      <c r="M15">
        <f t="shared" ca="1" si="2"/>
        <v>68.567688094334841</v>
      </c>
      <c r="N15">
        <f t="shared" ca="1" si="8"/>
        <v>1.9072389145414803</v>
      </c>
      <c r="O15" t="str">
        <f t="shared" ca="1" si="3"/>
        <v>J1</v>
      </c>
      <c r="P15">
        <f t="shared" ca="1" si="9"/>
        <v>74.375014015182899</v>
      </c>
      <c r="Q15">
        <f t="shared" ca="1" si="10"/>
        <v>84.614985984817096</v>
      </c>
      <c r="R15" s="13" t="str">
        <f t="shared" ca="1" si="11"/>
        <v>Continuer</v>
      </c>
      <c r="S15"/>
    </row>
    <row r="16" spans="2:19" x14ac:dyDescent="0.3">
      <c r="G16" s="5">
        <f t="shared" ca="1" si="0"/>
        <v>13</v>
      </c>
      <c r="H16">
        <f t="shared" ca="1" si="4"/>
        <v>58.089354524032466</v>
      </c>
      <c r="I16">
        <f t="shared" ca="1" si="5"/>
        <v>52.393965569871355</v>
      </c>
      <c r="J16">
        <f t="shared" ca="1" si="6"/>
        <v>28.490164217739551</v>
      </c>
      <c r="K16">
        <f t="shared" ca="1" si="7"/>
        <v>25.582812680028624</v>
      </c>
      <c r="L16">
        <f t="shared" ca="1" si="1"/>
        <v>73.020096038576568</v>
      </c>
      <c r="M16">
        <f t="shared" ca="1" si="2"/>
        <v>69.46361526138341</v>
      </c>
      <c r="N16">
        <f t="shared" ca="1" si="8"/>
        <v>3.5564807771931584</v>
      </c>
      <c r="O16" t="str">
        <f t="shared" ca="1" si="3"/>
        <v>J1</v>
      </c>
      <c r="P16">
        <f t="shared" ca="1" si="9"/>
        <v>75.08631017062153</v>
      </c>
      <c r="Q16">
        <f t="shared" ca="1" si="10"/>
        <v>83.903689829378465</v>
      </c>
      <c r="R16" s="13" t="str">
        <f t="shared" ca="1" si="11"/>
        <v>Continuer</v>
      </c>
      <c r="S16"/>
    </row>
    <row r="17" spans="7:19" x14ac:dyDescent="0.3">
      <c r="G17" s="5">
        <f t="shared" ca="1" si="0"/>
        <v>14</v>
      </c>
      <c r="H17">
        <f t="shared" ca="1" si="4"/>
        <v>59.339937880107755</v>
      </c>
      <c r="I17">
        <f t="shared" ca="1" si="5"/>
        <v>55.866951724989555</v>
      </c>
      <c r="J17">
        <f t="shared" ca="1" si="6"/>
        <v>23.656054729178074</v>
      </c>
      <c r="K17">
        <f t="shared" ca="1" si="7"/>
        <v>24.619433704603349</v>
      </c>
      <c r="L17">
        <f t="shared" ca="1" si="1"/>
        <v>74.907197809430897</v>
      </c>
      <c r="M17">
        <f t="shared" ca="1" si="2"/>
        <v>68.580356362406263</v>
      </c>
      <c r="N17">
        <f t="shared" ca="1" si="8"/>
        <v>6.3268414470246341</v>
      </c>
      <c r="O17" t="str">
        <f t="shared" ca="1" si="3"/>
        <v>J1</v>
      </c>
      <c r="P17">
        <f t="shared" ca="1" si="9"/>
        <v>76.351678460026463</v>
      </c>
      <c r="Q17">
        <f t="shared" ca="1" si="10"/>
        <v>82.638321539973532</v>
      </c>
      <c r="R17" s="13" t="str">
        <f t="shared" ca="1" si="11"/>
        <v>Continuer</v>
      </c>
      <c r="S17"/>
    </row>
    <row r="18" spans="7:19" x14ac:dyDescent="0.3">
      <c r="G18" s="5">
        <f t="shared" ca="1" si="0"/>
        <v>15</v>
      </c>
      <c r="H18">
        <f t="shared" ca="1" si="4"/>
        <v>59.76618100250289</v>
      </c>
      <c r="I18">
        <f t="shared" ca="1" si="5"/>
        <v>57.816566363746219</v>
      </c>
      <c r="J18">
        <f t="shared" ca="1" si="6"/>
        <v>27.437610994507715</v>
      </c>
      <c r="K18">
        <f t="shared" ca="1" si="7"/>
        <v>26.02852234955553</v>
      </c>
      <c r="L18">
        <f t="shared" ca="1" si="1"/>
        <v>76.57280146751701</v>
      </c>
      <c r="M18">
        <f t="shared" ca="1" si="2"/>
        <v>68.258234017803687</v>
      </c>
      <c r="N18">
        <f t="shared" ca="1" si="8"/>
        <v>8.3145674497133228</v>
      </c>
      <c r="O18" t="str">
        <f t="shared" ca="1" si="3"/>
        <v>J1</v>
      </c>
      <c r="P18">
        <f t="shared" ca="1" si="9"/>
        <v>78.01459194996913</v>
      </c>
      <c r="Q18">
        <f t="shared" ca="1" si="10"/>
        <v>80.975408050030865</v>
      </c>
      <c r="R18" s="13" t="str">
        <f t="shared" ca="1" si="11"/>
        <v>Continuer</v>
      </c>
      <c r="S18"/>
    </row>
    <row r="19" spans="7:19" x14ac:dyDescent="0.3">
      <c r="G19" s="5">
        <f t="shared" ca="1" si="0"/>
        <v>16</v>
      </c>
      <c r="H19">
        <f t="shared" ca="1" si="4"/>
        <v>59.239738953797414</v>
      </c>
      <c r="I19">
        <f t="shared" ca="1" si="5"/>
        <v>58.528152658771816</v>
      </c>
      <c r="J19">
        <f t="shared" ca="1" si="6"/>
        <v>61.549056908650172</v>
      </c>
      <c r="K19">
        <f t="shared" ca="1" si="7"/>
        <v>43.788789629102851</v>
      </c>
      <c r="L19">
        <f t="shared" ca="1" si="1"/>
        <v>78.021475428487122</v>
      </c>
      <c r="M19">
        <f t="shared" ca="1" si="2"/>
        <v>74.198301486662743</v>
      </c>
      <c r="N19">
        <f t="shared" ca="1" si="8"/>
        <v>3.8231739418243791</v>
      </c>
      <c r="O19" t="str">
        <f t="shared" ca="1" si="3"/>
        <v>J1</v>
      </c>
      <c r="P19">
        <f t="shared" ca="1" si="9"/>
        <v>78.779226738334003</v>
      </c>
      <c r="Q19">
        <f t="shared" ca="1" si="10"/>
        <v>80.210773261665992</v>
      </c>
      <c r="R19" s="13" t="str">
        <f t="shared" ca="1" si="11"/>
        <v>Continuer</v>
      </c>
      <c r="S19"/>
    </row>
    <row r="20" spans="7:19" x14ac:dyDescent="0.3">
      <c r="G20" s="5">
        <f t="shared" ca="1" si="0"/>
        <v>17</v>
      </c>
      <c r="H20">
        <f t="shared" ca="1" si="4"/>
        <v>56.60989876333575</v>
      </c>
      <c r="I20">
        <f t="shared" ca="1" si="5"/>
        <v>57.569025711053783</v>
      </c>
      <c r="J20">
        <f t="shared" ca="1" si="6"/>
        <v>54.369508683888384</v>
      </c>
      <c r="K20">
        <f t="shared" ca="1" si="7"/>
        <v>49.079149156495617</v>
      </c>
      <c r="L20">
        <f t="shared" ca="1" si="1"/>
        <v>78.173069001255314</v>
      </c>
      <c r="M20">
        <f t="shared" ca="1" si="2"/>
        <v>75.779200945764444</v>
      </c>
      <c r="N20">
        <f t="shared" ca="1" si="8"/>
        <v>2.39386805549087</v>
      </c>
      <c r="O20" t="str">
        <f t="shared" ca="1" si="3"/>
        <v>J1</v>
      </c>
      <c r="P20">
        <f t="shared" ca="1" si="9"/>
        <v>79.25800034943218</v>
      </c>
      <c r="Q20">
        <f t="shared" ca="1" si="10"/>
        <v>79.731999650567815</v>
      </c>
      <c r="R20" s="13" t="str">
        <f t="shared" ca="1" si="11"/>
        <v>Continuer</v>
      </c>
      <c r="S20"/>
    </row>
    <row r="21" spans="7:19" x14ac:dyDescent="0.3">
      <c r="G21" s="5">
        <f t="shared" ca="1" si="0"/>
        <v>18</v>
      </c>
      <c r="H21">
        <f t="shared" ca="1" si="4"/>
        <v>78.354339160428083</v>
      </c>
      <c r="I21">
        <f t="shared" ca="1" si="5"/>
        <v>67.961682435740926</v>
      </c>
      <c r="J21">
        <f t="shared" ca="1" si="6"/>
        <v>81.257148076630003</v>
      </c>
      <c r="K21">
        <f t="shared" ca="1" si="7"/>
        <v>65.168148616562803</v>
      </c>
      <c r="L21">
        <f t="shared" ca="1" si="1"/>
        <v>82.665273218898889</v>
      </c>
      <c r="M21">
        <f t="shared" ca="1" si="2"/>
        <v>81.879659202022594</v>
      </c>
      <c r="N21">
        <f t="shared" ca="1" si="8"/>
        <v>0.78561401687629484</v>
      </c>
      <c r="O21" t="str">
        <f t="shared" ca="1" si="3"/>
        <v>J1</v>
      </c>
      <c r="P21">
        <f t="shared" ca="1" si="9"/>
        <v>79.415123152807439</v>
      </c>
      <c r="Q21">
        <f t="shared" ca="1" si="10"/>
        <v>79.574876847192556</v>
      </c>
      <c r="R21" s="13" t="str">
        <f t="shared" ca="1" si="11"/>
        <v>Continuer</v>
      </c>
      <c r="S21"/>
    </row>
    <row r="22" spans="7:19" x14ac:dyDescent="0.3">
      <c r="G22" s="5">
        <f t="shared" ca="1" si="0"/>
        <v>19</v>
      </c>
      <c r="H22">
        <f t="shared" ca="1" si="4"/>
        <v>73.088301702622275</v>
      </c>
      <c r="I22">
        <f t="shared" ca="1" si="5"/>
        <v>70.524992069181593</v>
      </c>
      <c r="J22">
        <f t="shared" ca="1" si="6"/>
        <v>19.929538372233345</v>
      </c>
      <c r="K22">
        <f t="shared" ca="1" si="7"/>
        <v>42.548843494398071</v>
      </c>
      <c r="L22">
        <f t="shared" ca="1" si="1"/>
        <v>83.800583034637839</v>
      </c>
      <c r="M22">
        <f t="shared" ca="1" si="2"/>
        <v>72.721951190794016</v>
      </c>
      <c r="N22">
        <f t="shared" ca="1" si="8"/>
        <v>11.078631843843823</v>
      </c>
      <c r="O22" t="str">
        <f t="shared" ca="1" si="3"/>
        <v>J1</v>
      </c>
      <c r="P22">
        <f t="shared" ca="1" si="9"/>
        <v>81.630849521576209</v>
      </c>
      <c r="Q22">
        <f t="shared" ca="1" si="10"/>
        <v>77.359150478423786</v>
      </c>
      <c r="R22" s="13" t="str">
        <f t="shared" ca="1" si="11"/>
        <v>Continuer</v>
      </c>
      <c r="S22"/>
    </row>
    <row r="23" spans="7:19" x14ac:dyDescent="0.3">
      <c r="G23" s="5">
        <f t="shared" ca="1" si="0"/>
        <v>20</v>
      </c>
      <c r="H23">
        <f t="shared" ca="1" si="4"/>
        <v>17.241220207742995</v>
      </c>
      <c r="I23">
        <f t="shared" ca="1" si="5"/>
        <v>43.883106138462296</v>
      </c>
      <c r="J23">
        <f t="shared" ca="1" si="6"/>
        <v>45.867399000096796</v>
      </c>
      <c r="K23">
        <f t="shared" ca="1" si="7"/>
        <v>44.208121247247433</v>
      </c>
      <c r="L23">
        <f t="shared" ca="1" si="1"/>
        <v>74.694837120488259</v>
      </c>
      <c r="M23">
        <f t="shared" ca="1" si="2"/>
        <v>71.834653833795613</v>
      </c>
      <c r="N23">
        <f t="shared" ca="1" si="8"/>
        <v>2.8601832866926458</v>
      </c>
      <c r="O23" t="str">
        <f t="shared" ca="1" si="3"/>
        <v>J1</v>
      </c>
      <c r="P23">
        <f t="shared" ca="1" si="9"/>
        <v>82.202886178914738</v>
      </c>
      <c r="Q23">
        <f t="shared" ca="1" si="10"/>
        <v>76.787113821085256</v>
      </c>
      <c r="R23" s="13" t="str">
        <f t="shared" ca="1" si="11"/>
        <v>Continuer</v>
      </c>
      <c r="S23"/>
    </row>
    <row r="24" spans="7:19" x14ac:dyDescent="0.3">
      <c r="G24" s="5">
        <f t="shared" ca="1" si="0"/>
        <v>21</v>
      </c>
      <c r="H24">
        <f t="shared" ca="1" si="4"/>
        <v>86.184744403845599</v>
      </c>
      <c r="I24">
        <f t="shared" ca="1" si="5"/>
        <v>65.033925271153947</v>
      </c>
      <c r="J24">
        <f t="shared" ca="1" si="6"/>
        <v>33.825353655609575</v>
      </c>
      <c r="K24">
        <f t="shared" ca="1" si="7"/>
        <v>39.016737451428504</v>
      </c>
      <c r="L24">
        <f t="shared" ca="1" si="1"/>
        <v>83.555590433701894</v>
      </c>
      <c r="M24">
        <f t="shared" ca="1" si="2"/>
        <v>69.357674655331081</v>
      </c>
      <c r="N24">
        <f t="shared" ca="1" si="8"/>
        <v>14.197915778370813</v>
      </c>
      <c r="O24" t="str">
        <f t="shared" ca="1" si="3"/>
        <v>J1</v>
      </c>
      <c r="P24">
        <f t="shared" ca="1" si="9"/>
        <v>85.042469334588901</v>
      </c>
      <c r="Q24">
        <f t="shared" ca="1" si="10"/>
        <v>73.947530665411094</v>
      </c>
      <c r="R24" s="13" t="str">
        <f t="shared" ca="1" si="11"/>
        <v>Continuer</v>
      </c>
      <c r="S24"/>
    </row>
    <row r="25" spans="7:19" x14ac:dyDescent="0.3">
      <c r="G25" s="5">
        <f t="shared" ca="1" si="0"/>
        <v>22</v>
      </c>
      <c r="H25">
        <f t="shared" ca="1" si="4"/>
        <v>28.666906868140401</v>
      </c>
      <c r="I25">
        <f t="shared" ca="1" si="5"/>
        <v>46.850416069647174</v>
      </c>
      <c r="J25">
        <f t="shared" ca="1" si="6"/>
        <v>79.98712291907168</v>
      </c>
      <c r="K25">
        <f t="shared" ca="1" si="7"/>
        <v>59.501930185250089</v>
      </c>
      <c r="L25">
        <f t="shared" ca="1" si="1"/>
        <v>78.269894962071092</v>
      </c>
      <c r="M25">
        <f t="shared" ca="1" si="2"/>
        <v>75.564043539887791</v>
      </c>
      <c r="N25">
        <f t="shared" ca="1" si="8"/>
        <v>2.7058514221833008</v>
      </c>
      <c r="O25" t="str">
        <f t="shared" ca="1" si="3"/>
        <v>J1</v>
      </c>
      <c r="P25">
        <f t="shared" ca="1" si="9"/>
        <v>85.583639619025561</v>
      </c>
      <c r="Q25">
        <f t="shared" ca="1" si="10"/>
        <v>73.406360380974434</v>
      </c>
      <c r="R25" s="13" t="str">
        <f t="shared" ca="1" si="11"/>
        <v>Continuer</v>
      </c>
      <c r="S25"/>
    </row>
    <row r="26" spans="7:19" x14ac:dyDescent="0.3">
      <c r="G26" s="5">
        <f t="shared" ca="1" si="0"/>
        <v>23</v>
      </c>
      <c r="H26">
        <f t="shared" ca="1" si="4"/>
        <v>29.84167624194361</v>
      </c>
      <c r="I26">
        <f t="shared" ca="1" si="5"/>
        <v>38.346046155795392</v>
      </c>
      <c r="J26">
        <f t="shared" ca="1" si="6"/>
        <v>70.295909189215308</v>
      </c>
      <c r="K26">
        <f t="shared" ca="1" si="7"/>
        <v>64.898919687232706</v>
      </c>
      <c r="L26">
        <f t="shared" ca="1" si="1"/>
        <v>75.246966195636048</v>
      </c>
      <c r="M26">
        <f t="shared" ca="1" si="2"/>
        <v>77.344020141575186</v>
      </c>
      <c r="N26">
        <f t="shared" ca="1" si="8"/>
        <v>2.0970539459391375</v>
      </c>
      <c r="O26" t="str">
        <f t="shared" ca="1" si="3"/>
        <v>J2</v>
      </c>
      <c r="P26">
        <f t="shared" ca="1" si="9"/>
        <v>85.164228829837739</v>
      </c>
      <c r="Q26">
        <f t="shared" ca="1" si="10"/>
        <v>73.825771170162255</v>
      </c>
      <c r="R26" s="13" t="str">
        <f t="shared" ca="1" si="11"/>
        <v>Continuer</v>
      </c>
      <c r="S26"/>
    </row>
    <row r="27" spans="7:19" x14ac:dyDescent="0.3">
      <c r="G27" s="5">
        <f t="shared" ca="1" si="0"/>
        <v>24</v>
      </c>
      <c r="H27">
        <f t="shared" ca="1" si="4"/>
        <v>15.038570859537778</v>
      </c>
      <c r="I27">
        <f t="shared" ca="1" si="5"/>
        <v>26.692308507666585</v>
      </c>
      <c r="J27">
        <f t="shared" ca="1" si="6"/>
        <v>80.592781026982976</v>
      </c>
      <c r="K27">
        <f t="shared" ca="1" si="7"/>
        <v>72.745850357107841</v>
      </c>
      <c r="L27">
        <f t="shared" ca="1" si="1"/>
        <v>70.291883583953052</v>
      </c>
      <c r="M27">
        <f t="shared" ca="1" si="2"/>
        <v>80.776379961956721</v>
      </c>
      <c r="N27">
        <f t="shared" ca="1" si="8"/>
        <v>10.484496378003669</v>
      </c>
      <c r="O27" t="str">
        <f t="shared" ca="1" si="3"/>
        <v>J2</v>
      </c>
      <c r="P27">
        <f t="shared" ca="1" si="9"/>
        <v>83.067329554237006</v>
      </c>
      <c r="Q27">
        <f t="shared" ca="1" si="10"/>
        <v>75.922670445762989</v>
      </c>
      <c r="R27" s="13" t="str">
        <f t="shared" ca="1" si="11"/>
        <v>Continuer</v>
      </c>
      <c r="S27"/>
    </row>
    <row r="28" spans="7:19" x14ac:dyDescent="0.3">
      <c r="G28" s="5">
        <f t="shared" ca="1" si="0"/>
        <v>25</v>
      </c>
      <c r="H28">
        <f t="shared" ca="1" si="4"/>
        <v>34.337259796771228</v>
      </c>
      <c r="I28">
        <f t="shared" ca="1" si="5"/>
        <v>30.514784152218908</v>
      </c>
      <c r="J28">
        <f t="shared" ca="1" si="6"/>
        <v>37.623967973464907</v>
      </c>
      <c r="K28">
        <f t="shared" ca="1" si="7"/>
        <v>55.184909165286371</v>
      </c>
      <c r="L28">
        <f t="shared" ca="1" si="1"/>
        <v>70.353044348853459</v>
      </c>
      <c r="M28">
        <f t="shared" ca="1" si="2"/>
        <v>75.219832978148645</v>
      </c>
      <c r="N28">
        <f t="shared" ca="1" si="8"/>
        <v>4.8667886292951863</v>
      </c>
      <c r="O28" t="str">
        <f t="shared" ca="1" si="3"/>
        <v>J2</v>
      </c>
      <c r="P28">
        <f t="shared" ca="1" si="9"/>
        <v>82.093971828377974</v>
      </c>
      <c r="Q28">
        <f t="shared" ca="1" si="10"/>
        <v>76.896028171622021</v>
      </c>
      <c r="R28" s="13" t="str">
        <f t="shared" ca="1" si="11"/>
        <v>Continuer</v>
      </c>
      <c r="S28"/>
    </row>
    <row r="29" spans="7:19" x14ac:dyDescent="0.3">
      <c r="G29" s="5">
        <f t="shared" ca="1" si="0"/>
        <v>26</v>
      </c>
      <c r="H29">
        <f t="shared" ca="1" si="4"/>
        <v>28.529163226978127</v>
      </c>
      <c r="I29">
        <f t="shared" ca="1" si="5"/>
        <v>29.521973689598518</v>
      </c>
      <c r="J29">
        <f t="shared" ca="1" si="6"/>
        <v>-11.998977716425685</v>
      </c>
      <c r="K29">
        <f t="shared" ca="1" si="7"/>
        <v>21.592965724430343</v>
      </c>
      <c r="L29">
        <f t="shared" ca="1" si="1"/>
        <v>69.274569755703979</v>
      </c>
      <c r="M29">
        <f t="shared" ca="1" si="2"/>
        <v>62.464406009907549</v>
      </c>
      <c r="N29">
        <f t="shared" ca="1" si="8"/>
        <v>6.8101637457964301</v>
      </c>
      <c r="O29" t="str">
        <f t="shared" ca="1" si="3"/>
        <v>J1</v>
      </c>
      <c r="P29">
        <f t="shared" ca="1" si="9"/>
        <v>83.456004577537257</v>
      </c>
      <c r="Q29">
        <f t="shared" ca="1" si="10"/>
        <v>75.533995422462738</v>
      </c>
      <c r="R29" s="13" t="str">
        <f t="shared" ca="1" si="11"/>
        <v>Continuer</v>
      </c>
      <c r="S29"/>
    </row>
    <row r="30" spans="7:19" x14ac:dyDescent="0.3">
      <c r="G30" s="5">
        <f t="shared" ca="1" si="0"/>
        <v>27</v>
      </c>
      <c r="H30">
        <f t="shared" ca="1" si="4"/>
        <v>56.990049091087698</v>
      </c>
      <c r="I30">
        <f t="shared" ca="1" si="5"/>
        <v>43.256011390343104</v>
      </c>
      <c r="J30">
        <f t="shared" ca="1" si="6"/>
        <v>38.138307283358749</v>
      </c>
      <c r="K30">
        <f t="shared" ca="1" si="7"/>
        <v>29.865636503894546</v>
      </c>
      <c r="L30">
        <f t="shared" ca="1" si="1"/>
        <v>75.72160776041332</v>
      </c>
      <c r="M30">
        <f t="shared" ca="1" si="2"/>
        <v>64.82005139728173</v>
      </c>
      <c r="N30">
        <f t="shared" ca="1" si="8"/>
        <v>10.90155636313159</v>
      </c>
      <c r="O30" t="str">
        <f t="shared" ca="1" si="3"/>
        <v>J1</v>
      </c>
      <c r="P30">
        <f t="shared" ca="1" si="9"/>
        <v>85.63631585016357</v>
      </c>
      <c r="Q30">
        <f t="shared" ca="1" si="10"/>
        <v>73.353684149836425</v>
      </c>
      <c r="R30" s="13" t="str">
        <f t="shared" ca="1" si="11"/>
        <v>Continuer</v>
      </c>
      <c r="S30"/>
    </row>
    <row r="31" spans="7:19" x14ac:dyDescent="0.3">
      <c r="G31" s="5">
        <f t="shared" ca="1" si="0"/>
        <v>28</v>
      </c>
      <c r="H31">
        <f t="shared" ca="1" si="4"/>
        <v>79.541473657097228</v>
      </c>
      <c r="I31">
        <f t="shared" ca="1" si="5"/>
        <v>61.398742523720166</v>
      </c>
      <c r="J31">
        <f t="shared" ca="1" si="6"/>
        <v>27.653022680678596</v>
      </c>
      <c r="K31">
        <f t="shared" ca="1" si="7"/>
        <v>28.759329592286569</v>
      </c>
      <c r="L31">
        <f t="shared" ca="1" si="1"/>
        <v>84.504918104602567</v>
      </c>
      <c r="M31">
        <f t="shared" ca="1" si="2"/>
        <v>62.85131074180012</v>
      </c>
      <c r="N31">
        <f t="shared" ca="1" si="8"/>
        <v>21.653607362802447</v>
      </c>
      <c r="O31" t="str">
        <f t="shared" ca="1" si="3"/>
        <v>J1</v>
      </c>
      <c r="P31">
        <f t="shared" ca="1" si="9"/>
        <v>89.967037322724053</v>
      </c>
      <c r="Q31">
        <f t="shared" ca="1" si="10"/>
        <v>69.022962677275942</v>
      </c>
      <c r="R31" s="13" t="str">
        <f t="shared" ca="1" si="11"/>
        <v>Continuer</v>
      </c>
      <c r="S31"/>
    </row>
    <row r="32" spans="7:19" x14ac:dyDescent="0.3">
      <c r="G32" s="5">
        <f t="shared" ca="1" si="0"/>
        <v>29</v>
      </c>
      <c r="H32">
        <f t="shared" ca="1" si="4"/>
        <v>25.793635621904532</v>
      </c>
      <c r="I32">
        <f t="shared" ca="1" si="5"/>
        <v>43.596189072812351</v>
      </c>
      <c r="J32">
        <f t="shared" ca="1" si="6"/>
        <v>40.722631897605254</v>
      </c>
      <c r="K32">
        <f t="shared" ca="1" si="7"/>
        <v>34.740980744945915</v>
      </c>
      <c r="L32">
        <f t="shared" ca="1" si="1"/>
        <v>80.41540175503178</v>
      </c>
      <c r="M32">
        <f t="shared" ca="1" si="2"/>
        <v>62.212466172071522</v>
      </c>
      <c r="N32">
        <f t="shared" ca="1" si="8"/>
        <v>18.202935582960258</v>
      </c>
      <c r="O32" t="str">
        <f t="shared" ca="1" si="3"/>
        <v>J1</v>
      </c>
      <c r="P32">
        <f t="shared" ca="1" si="9"/>
        <v>93.607624439316112</v>
      </c>
      <c r="Q32">
        <f t="shared" ca="1" si="10"/>
        <v>65.382375560683897</v>
      </c>
      <c r="R32" s="13" t="str">
        <f t="shared" ca="1" si="11"/>
        <v>Continuer</v>
      </c>
      <c r="S32"/>
    </row>
    <row r="33" spans="7:19" x14ac:dyDescent="0.3">
      <c r="G33" s="5">
        <f t="shared" ca="1" si="0"/>
        <v>30</v>
      </c>
      <c r="H33">
        <f t="shared" ca="1" si="4"/>
        <v>55.405020551532935</v>
      </c>
      <c r="I33">
        <f t="shared" ca="1" si="5"/>
        <v>49.500604812172639</v>
      </c>
      <c r="J33">
        <f t="shared" ca="1" si="6"/>
        <v>52.02247406442887</v>
      </c>
      <c r="K33">
        <f t="shared" ca="1" si="7"/>
        <v>43.381727404687396</v>
      </c>
      <c r="L33">
        <f t="shared" ca="1" si="1"/>
        <v>85.325579032390337</v>
      </c>
      <c r="M33">
        <f t="shared" ca="1" si="2"/>
        <v>63.120353854353681</v>
      </c>
      <c r="N33">
        <f t="shared" ca="1" si="8"/>
        <v>22.205225178036656</v>
      </c>
      <c r="O33" t="str">
        <f t="shared" ca="1" si="3"/>
        <v>J1</v>
      </c>
      <c r="P33">
        <f t="shared" ca="1" si="9"/>
        <v>98.048669474923443</v>
      </c>
      <c r="Q33">
        <f t="shared" ca="1" si="10"/>
        <v>60.941330525076566</v>
      </c>
      <c r="R33" s="13" t="str">
        <f t="shared" ca="1" si="11"/>
        <v>Continuer</v>
      </c>
      <c r="S33"/>
    </row>
    <row r="34" spans="7:19" x14ac:dyDescent="0.3">
      <c r="G34" s="5">
        <f t="shared" ca="1" si="0"/>
        <v>31</v>
      </c>
      <c r="H34">
        <f t="shared" ca="1" si="4"/>
        <v>48.381536269766357</v>
      </c>
      <c r="I34">
        <f t="shared" ca="1" si="5"/>
        <v>48.941070540969498</v>
      </c>
      <c r="J34">
        <f t="shared" ca="1" si="6"/>
        <v>62.952581349303145</v>
      </c>
      <c r="K34">
        <f t="shared" ca="1" si="7"/>
        <v>53.167154376995271</v>
      </c>
      <c r="L34">
        <f t="shared" ca="1" si="1"/>
        <v>88.210496848834197</v>
      </c>
      <c r="M34">
        <f t="shared" ca="1" si="2"/>
        <v>63.925793118351706</v>
      </c>
      <c r="N34">
        <f t="shared" ca="1" si="8"/>
        <v>24.284703730482491</v>
      </c>
      <c r="O34" t="str">
        <f t="shared" ca="1" si="3"/>
        <v>J1</v>
      </c>
      <c r="P34">
        <f t="shared" ca="1" si="9"/>
        <v>102.90561022101994</v>
      </c>
      <c r="Q34">
        <f t="shared" ca="1" si="10"/>
        <v>56.084389778980068</v>
      </c>
      <c r="R34" s="13" t="str">
        <f t="shared" ca="1" si="11"/>
        <v>Continuer</v>
      </c>
      <c r="S34"/>
    </row>
    <row r="35" spans="7:19" x14ac:dyDescent="0.3">
      <c r="G35" s="5">
        <f t="shared" ca="1" si="0"/>
        <v>32</v>
      </c>
      <c r="H35">
        <f t="shared" ca="1" si="4"/>
        <v>20.899430982517515</v>
      </c>
      <c r="I35">
        <f t="shared" ca="1" si="5"/>
        <v>34.920250761743503</v>
      </c>
      <c r="J35">
        <f t="shared" ca="1" si="6"/>
        <v>43.302345660649792</v>
      </c>
      <c r="K35">
        <f t="shared" ca="1" si="7"/>
        <v>48.234750018822531</v>
      </c>
      <c r="L35">
        <f t="shared" ca="1" si="1"/>
        <v>86.002027459411352</v>
      </c>
      <c r="M35">
        <f t="shared" ca="1" si="2"/>
        <v>58.55297285281506</v>
      </c>
      <c r="N35">
        <f t="shared" ca="1" si="8"/>
        <v>27.449054606596292</v>
      </c>
      <c r="O35" t="str">
        <f t="shared" ca="1" si="3"/>
        <v>J1</v>
      </c>
      <c r="P35">
        <f t="shared" ca="1" si="9"/>
        <v>108.3954211423392</v>
      </c>
      <c r="Q35">
        <f t="shared" ca="1" si="10"/>
        <v>50.594578857660807</v>
      </c>
      <c r="R35" s="13" t="str">
        <f t="shared" ca="1" si="11"/>
        <v>Continuer</v>
      </c>
      <c r="S35"/>
    </row>
    <row r="36" spans="7:19" x14ac:dyDescent="0.3">
      <c r="G36" s="5">
        <f t="shared" ca="1" si="0"/>
        <v>33</v>
      </c>
      <c r="H36">
        <f t="shared" ca="1" si="4"/>
        <v>59.193679486548902</v>
      </c>
      <c r="I36">
        <f t="shared" ca="1" si="5"/>
        <v>47.056965124146203</v>
      </c>
      <c r="J36">
        <f t="shared" ca="1" si="6"/>
        <v>23.173364248798666</v>
      </c>
      <c r="K36">
        <f t="shared" ca="1" si="7"/>
        <v>35.704057133810601</v>
      </c>
      <c r="L36">
        <f t="shared" ca="1" si="1"/>
        <v>94.699580849295927</v>
      </c>
      <c r="M36">
        <f t="shared" ca="1" si="2"/>
        <v>49.697828053886802</v>
      </c>
      <c r="N36">
        <f t="shared" ca="1" si="8"/>
        <v>45.001752795409125</v>
      </c>
      <c r="O36" t="str">
        <f t="shared" ca="1" si="3"/>
        <v>J1</v>
      </c>
      <c r="P36">
        <f t="shared" ca="1" si="9"/>
        <v>117.39577170142103</v>
      </c>
      <c r="Q36">
        <f t="shared" ca="1" si="10"/>
        <v>41.594228298578983</v>
      </c>
      <c r="R36" s="13" t="str">
        <f t="shared" ca="1" si="11"/>
        <v>Continuer</v>
      </c>
      <c r="S36"/>
    </row>
    <row r="37" spans="7:19" x14ac:dyDescent="0.3">
      <c r="G37" s="5">
        <f t="shared" ca="1" si="0"/>
        <v>34</v>
      </c>
      <c r="H37">
        <f t="shared" ref="H37:H42" ca="1" si="12">IF(R36 = "Continuer", _xlfn.NORM.INV(RAND(), 40, 25), "")</f>
        <v>43.780219152890623</v>
      </c>
      <c r="I37">
        <f t="shared" ca="1" si="5"/>
        <v>45.418592138518413</v>
      </c>
      <c r="J37">
        <f t="shared" ref="J37:J42" ca="1" si="13">IF(R36 = "Continuer", _xlfn.NORM.INV(RAND(), 40, 25), "")</f>
        <v>-28.262474625341554</v>
      </c>
      <c r="K37">
        <f t="shared" ca="1" si="7"/>
        <v>3.7207912542345234</v>
      </c>
      <c r="L37">
        <f t="shared" ca="1" si="1"/>
        <v>100.34447704640209</v>
      </c>
      <c r="M37">
        <f t="shared" ca="1" si="2"/>
        <v>30.604276310699095</v>
      </c>
      <c r="N37">
        <f t="shared" ca="1" si="8"/>
        <v>69.740200735702999</v>
      </c>
      <c r="O37" t="str">
        <f t="shared" ca="1" si="3"/>
        <v>J1</v>
      </c>
      <c r="P37">
        <f t="shared" ca="1" si="9"/>
        <v>131.34381184856161</v>
      </c>
      <c r="Q37">
        <f t="shared" ca="1" si="10"/>
        <v>27.64618815143838</v>
      </c>
      <c r="R37" s="13" t="str">
        <f t="shared" ref="R37:R42" ca="1" si="14">IF(R36 = "Continuer", IF(OR(P37&lt;=0, Q37&lt;=0), "Arret", "Continuer"), "")</f>
        <v>Continuer</v>
      </c>
      <c r="S37"/>
    </row>
    <row r="38" spans="7:19" x14ac:dyDescent="0.3">
      <c r="G38" s="5">
        <f t="shared" ca="1" si="0"/>
        <v>35</v>
      </c>
      <c r="H38">
        <f t="shared" ca="1" si="12"/>
        <v>21.061029755235307</v>
      </c>
      <c r="I38">
        <f t="shared" ca="1" si="5"/>
        <v>33.239810946876858</v>
      </c>
      <c r="J38">
        <f t="shared" ca="1" si="13"/>
        <v>86.598128119459659</v>
      </c>
      <c r="K38">
        <f t="shared" ca="1" si="7"/>
        <v>45.159459686847093</v>
      </c>
      <c r="L38">
        <f t="shared" ca="1" si="1"/>
        <v>105.23659267274387</v>
      </c>
      <c r="M38">
        <f t="shared" ca="1" si="2"/>
        <v>37.416115580745704</v>
      </c>
      <c r="N38">
        <f t="shared" ca="1" si="8"/>
        <v>67.820477091998157</v>
      </c>
      <c r="O38" t="str">
        <f t="shared" ca="1" si="3"/>
        <v>J1</v>
      </c>
      <c r="P38">
        <f t="shared" ca="1" si="9"/>
        <v>144.90790726696125</v>
      </c>
      <c r="Q38">
        <f t="shared" ca="1" si="10"/>
        <v>14.082092733038749</v>
      </c>
      <c r="R38" s="13" t="str">
        <f t="shared" ca="1" si="14"/>
        <v>Continuer</v>
      </c>
      <c r="S38"/>
    </row>
    <row r="39" spans="7:19" x14ac:dyDescent="0.3">
      <c r="G39" s="5">
        <f t="shared" ca="1" si="0"/>
        <v>36</v>
      </c>
      <c r="H39">
        <f t="shared" ca="1" si="12"/>
        <v>14.890032241249415</v>
      </c>
      <c r="I39">
        <f t="shared" ca="1" si="5"/>
        <v>24.064921594063136</v>
      </c>
      <c r="J39">
        <f t="shared" ca="1" si="13"/>
        <v>20.310940926664305</v>
      </c>
      <c r="K39">
        <f t="shared" ca="1" si="7"/>
        <v>32.735200306755701</v>
      </c>
      <c r="L39">
        <f t="shared" ca="1" si="1"/>
        <v>111.06150372449812</v>
      </c>
      <c r="M39">
        <f t="shared" ca="1" si="2"/>
        <v>22.951545035829405</v>
      </c>
      <c r="N39">
        <f t="shared" ca="1" si="8"/>
        <v>88.109958688668712</v>
      </c>
      <c r="O39" t="str">
        <f t="shared" ca="1" si="3"/>
        <v>J1</v>
      </c>
      <c r="P39">
        <f t="shared" ca="1" si="9"/>
        <v>162.52989900469498</v>
      </c>
      <c r="Q39">
        <f t="shared" ca="1" si="10"/>
        <v>-3.5398990046949947</v>
      </c>
      <c r="R39" s="13" t="str">
        <f t="shared" ca="1" si="14"/>
        <v>Arret</v>
      </c>
      <c r="S39"/>
    </row>
    <row r="40" spans="7:19" x14ac:dyDescent="0.3">
      <c r="G40" s="5" t="str">
        <f t="shared" ca="1" si="0"/>
        <v/>
      </c>
      <c r="H40" t="str">
        <f t="shared" ca="1" si="12"/>
        <v/>
      </c>
      <c r="I40" t="str">
        <f t="shared" ca="1" si="5"/>
        <v/>
      </c>
      <c r="J40" t="str">
        <f t="shared" ca="1" si="13"/>
        <v/>
      </c>
      <c r="K40" t="str">
        <f t="shared" ca="1" si="7"/>
        <v/>
      </c>
      <c r="L40" t="str">
        <f t="shared" ca="1" si="1"/>
        <v/>
      </c>
      <c r="M40" t="str">
        <f t="shared" ca="1" si="2"/>
        <v/>
      </c>
      <c r="N40" t="str">
        <f t="shared" ca="1" si="8"/>
        <v/>
      </c>
      <c r="O40" t="str">
        <f t="shared" ca="1" si="3"/>
        <v/>
      </c>
      <c r="P40" t="str">
        <f t="shared" ca="1" si="9"/>
        <v/>
      </c>
      <c r="Q40" t="str">
        <f t="shared" ca="1" si="10"/>
        <v/>
      </c>
      <c r="R40" s="13" t="str">
        <f t="shared" ca="1" si="14"/>
        <v/>
      </c>
      <c r="S40"/>
    </row>
    <row r="41" spans="7:19" x14ac:dyDescent="0.3">
      <c r="G41" s="5" t="str">
        <f t="shared" ca="1" si="0"/>
        <v/>
      </c>
      <c r="H41" t="str">
        <f t="shared" ca="1" si="12"/>
        <v/>
      </c>
      <c r="I41" t="str">
        <f t="shared" ca="1" si="5"/>
        <v/>
      </c>
      <c r="J41" t="str">
        <f t="shared" ca="1" si="13"/>
        <v/>
      </c>
      <c r="K41" t="str">
        <f t="shared" ca="1" si="7"/>
        <v/>
      </c>
      <c r="L41" t="str">
        <f t="shared" ca="1" si="1"/>
        <v/>
      </c>
      <c r="M41" t="str">
        <f t="shared" ca="1" si="2"/>
        <v/>
      </c>
      <c r="N41" t="str">
        <f t="shared" ca="1" si="8"/>
        <v/>
      </c>
      <c r="O41" t="str">
        <f t="shared" ca="1" si="3"/>
        <v/>
      </c>
      <c r="P41" t="str">
        <f t="shared" ca="1" si="9"/>
        <v/>
      </c>
      <c r="Q41" t="str">
        <f t="shared" ca="1" si="10"/>
        <v/>
      </c>
      <c r="R41" s="13" t="str">
        <f t="shared" ca="1" si="14"/>
        <v/>
      </c>
      <c r="S41"/>
    </row>
    <row r="42" spans="7:19" ht="15" thickBot="1" x14ac:dyDescent="0.35">
      <c r="G42" s="7" t="str">
        <f t="shared" ca="1" si="0"/>
        <v/>
      </c>
      <c r="H42" s="8" t="str">
        <f t="shared" ca="1" si="12"/>
        <v/>
      </c>
      <c r="I42" s="8" t="str">
        <f t="shared" ca="1" si="5"/>
        <v/>
      </c>
      <c r="J42" s="8" t="str">
        <f t="shared" ca="1" si="13"/>
        <v/>
      </c>
      <c r="K42" s="8" t="str">
        <f ca="1">IF(R41 = "Continuer", AVERAGE(J42,K41), "")</f>
        <v/>
      </c>
      <c r="L42" s="8" t="str">
        <f t="shared" ca="1" si="1"/>
        <v/>
      </c>
      <c r="M42" s="8" t="str">
        <f t="shared" ca="1" si="2"/>
        <v/>
      </c>
      <c r="N42" s="8" t="str">
        <f t="shared" ca="1" si="8"/>
        <v/>
      </c>
      <c r="O42" s="8" t="str">
        <f t="shared" ca="1" si="3"/>
        <v/>
      </c>
      <c r="P42" s="8" t="str">
        <f t="shared" ca="1" si="9"/>
        <v/>
      </c>
      <c r="Q42" s="8" t="str">
        <f t="shared" ca="1" si="10"/>
        <v/>
      </c>
      <c r="R42" s="17" t="str">
        <f t="shared" ca="1" si="14"/>
        <v/>
      </c>
      <c r="S4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2A6F-883D-374A-BDA5-A5FE1A93D92E}">
  <dimension ref="A1:S383"/>
  <sheetViews>
    <sheetView workbookViewId="0">
      <selection activeCell="C28" sqref="C28"/>
    </sheetView>
  </sheetViews>
  <sheetFormatPr defaultColWidth="11.5546875" defaultRowHeight="14.4" x14ac:dyDescent="0.3"/>
  <cols>
    <col min="6" max="6" width="13.33203125" customWidth="1"/>
    <col min="8" max="8" width="11.6640625" bestFit="1" customWidth="1"/>
  </cols>
  <sheetData>
    <row r="1" spans="1:19" ht="15" thickBot="1" x14ac:dyDescent="0.35">
      <c r="A1" s="14"/>
      <c r="B1" s="14"/>
      <c r="C1" s="14"/>
      <c r="D1" s="14"/>
      <c r="E1" s="14" t="s">
        <v>20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3">
      <c r="A2" s="14"/>
      <c r="B2" s="2"/>
      <c r="C2" s="3" t="s">
        <v>0</v>
      </c>
      <c r="D2" s="3" t="s">
        <v>1</v>
      </c>
      <c r="E2" s="4" t="s">
        <v>4</v>
      </c>
      <c r="F2" s="14"/>
      <c r="G2" s="10" t="s">
        <v>5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2"/>
      <c r="S2" s="14"/>
    </row>
    <row r="3" spans="1:19" x14ac:dyDescent="0.3">
      <c r="A3" s="14"/>
      <c r="B3" s="5" t="s">
        <v>2</v>
      </c>
      <c r="C3" s="14">
        <v>75.89</v>
      </c>
      <c r="D3">
        <f>90-C3</f>
        <v>14.11</v>
      </c>
      <c r="E3" s="6" t="str">
        <f>IF(C3+D3=90, "OK", "Erreur : Doit être 90")</f>
        <v>OK</v>
      </c>
      <c r="F3" s="14"/>
      <c r="G3" s="5" t="s">
        <v>17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19</v>
      </c>
      <c r="O3" t="s">
        <v>14</v>
      </c>
      <c r="P3" t="s">
        <v>15</v>
      </c>
      <c r="Q3" t="s">
        <v>16</v>
      </c>
      <c r="R3" s="13" t="s">
        <v>18</v>
      </c>
    </row>
    <row r="4" spans="1:19" ht="15" thickBot="1" x14ac:dyDescent="0.35">
      <c r="A4" s="14"/>
      <c r="B4" s="7" t="s">
        <v>3</v>
      </c>
      <c r="C4" s="15">
        <v>71.790000000000006</v>
      </c>
      <c r="D4" s="8">
        <f>90-C4</f>
        <v>18.209999999999994</v>
      </c>
      <c r="E4" s="9" t="str">
        <f>IF(C4+D4=90, "OK", "Erreur : Doit être 90")</f>
        <v>OK</v>
      </c>
      <c r="F4" s="14"/>
      <c r="G4" s="5">
        <f>IF(AND(E3 = "OK", E4 = "OK"), 1, "")</f>
        <v>1</v>
      </c>
      <c r="H4" s="16">
        <v>63.156857227871498</v>
      </c>
      <c r="I4">
        <f>IF(AND(E3 = "OK", E4 = "OK"), AVERAGE(H4, D3), "")</f>
        <v>38.633428613935749</v>
      </c>
      <c r="J4">
        <v>91.016409749386796</v>
      </c>
      <c r="K4">
        <f>IF(AND(E3 = "OK", E4 = "OK"), AVERAGE(J4,D4), "")</f>
        <v>54.613204874693395</v>
      </c>
      <c r="L4">
        <f>IF(AND(E3 = "OK", E4 = "OK"), (C3 * 0.7) + (I4 * 0.4), "")</f>
        <v>68.576371445574296</v>
      </c>
      <c r="M4">
        <f>IF(AND(E3 = "OK", E4 = "OK"), (C4 * 0.7) + (K4 * 0.4), "")</f>
        <v>72.098281949877361</v>
      </c>
      <c r="N4">
        <f>IF(AND(E3 = "OK", E4 = "OK"), ABS(L4-M4), "")</f>
        <v>3.5219105043030652</v>
      </c>
      <c r="O4" t="str">
        <f>IF(AND(E3 = "OK", E4 = "OK"), IF(L4&gt;M4, "J1", "J2"), "")</f>
        <v>J2</v>
      </c>
      <c r="P4">
        <f>IF(AND(E3 = "OK", E4 = "OK"), IF(L4&gt;M4, C3 + ABS(L4-M4)*0.2, C3 - ABS(L4-M4)*0.2),"")</f>
        <v>75.185617899139388</v>
      </c>
      <c r="Q4">
        <f>IF(AND(E3 = "OK", E4 = "OK"), IF(L4&lt;M4, C4 + ABS(L4-M4)*0.2, C4 - ABS(L4-M4)*0.2), "")</f>
        <v>72.494382100860619</v>
      </c>
      <c r="R4" s="13" t="str">
        <f>IF(AND(E3 = "OK", E4 = "OK"), IF(OR(P4&lt;=0, Q4&lt;=0), "Arret", "Continuer"), "Erreur")</f>
        <v>Continuer</v>
      </c>
    </row>
    <row r="5" spans="1:19" x14ac:dyDescent="0.3">
      <c r="A5" s="14"/>
      <c r="B5" s="14"/>
      <c r="C5" s="14"/>
      <c r="D5" s="14"/>
      <c r="E5" s="14"/>
      <c r="F5" s="14"/>
      <c r="G5" s="5">
        <f t="shared" ref="G5:G42" si="0">IF(R4 = "Continuer", G4+1, "")</f>
        <v>2</v>
      </c>
      <c r="H5">
        <v>69.533989751497003</v>
      </c>
      <c r="I5">
        <f>IF(R4 = "Continuer", AVERAGE(H5,I4), "")</f>
        <v>54.083709182716376</v>
      </c>
      <c r="J5">
        <v>31.426878070171199</v>
      </c>
      <c r="K5">
        <f>IF(R4 = "Continuer", AVERAGE(J5,K4), "")</f>
        <v>43.020041472432297</v>
      </c>
      <c r="L5">
        <f t="shared" ref="L5:L42" si="1">IF(R4 = "Continuer", (P4 * 0.7) + (I5 * 0.4), "")</f>
        <v>74.263416202484123</v>
      </c>
      <c r="M5">
        <f t="shared" ref="M5:M42" si="2">IF(R4 = "Continuer", (Q4 * 0.7) + (K5 * 0.4), "")</f>
        <v>67.954084059575351</v>
      </c>
      <c r="N5">
        <f>IF(R4 = "Continuer", ABS(L5-M5), "")</f>
        <v>6.3093321429087723</v>
      </c>
      <c r="O5" t="str">
        <f t="shared" ref="O5:O42" si="3">IF(R4 = "Continuer", IF(L5&gt;M5, "J1", "J2"), "")</f>
        <v>J1</v>
      </c>
      <c r="P5">
        <f>IF(R4 = "Continuer", IF(L5&gt;M5, P4 + ABS(L5-M5)*0.2, P4 - ABS(L5-M5)*0.2), "")</f>
        <v>76.447484327721142</v>
      </c>
      <c r="Q5">
        <f>IF(R4 = "Continuer", IF(L5&lt;M5, Q4 + ABS(L5-M5)*0.2, Q4 - ABS(L5-M5)*0.2), "")</f>
        <v>71.232515672278865</v>
      </c>
      <c r="R5" s="13" t="str">
        <f>IF(R4 = "Continuer", IF(OR(P5&lt;=0, Q5&lt;=0), "Arret", "Continuer"), "")</f>
        <v>Continuer</v>
      </c>
    </row>
    <row r="6" spans="1:19" x14ac:dyDescent="0.3">
      <c r="A6" s="14"/>
      <c r="B6" s="14"/>
      <c r="C6" s="14"/>
      <c r="D6" s="14"/>
      <c r="E6" s="14"/>
      <c r="F6" s="14"/>
      <c r="G6" s="5">
        <f t="shared" si="0"/>
        <v>3</v>
      </c>
      <c r="H6">
        <v>45.6788233352923</v>
      </c>
      <c r="I6">
        <f t="shared" ref="I6:I42" si="4">IF(R5 = "Continuer", AVERAGE(H6,I5), "")</f>
        <v>49.881266259004335</v>
      </c>
      <c r="J6">
        <v>66.954895697041906</v>
      </c>
      <c r="K6">
        <f t="shared" ref="K6:K42" si="5">IF(R5 = "Continuer", AVERAGE(J6,K5), "")</f>
        <v>54.987468584737101</v>
      </c>
      <c r="L6">
        <f t="shared" si="1"/>
        <v>73.465745533006526</v>
      </c>
      <c r="M6">
        <f t="shared" si="2"/>
        <v>71.857748404490053</v>
      </c>
      <c r="N6">
        <f t="shared" ref="N6:N42" si="6">IF(R5 = "Continuer", ABS(L6-M6), "")</f>
        <v>1.6079971285164731</v>
      </c>
      <c r="O6" t="str">
        <f t="shared" si="3"/>
        <v>J1</v>
      </c>
      <c r="P6">
        <f t="shared" ref="P6:P42" si="7">IF(R5 = "Continuer", IF(L6&gt;M6, P5 + ABS(L6-M6)*0.2, P5 - ABS(L6-M6)*0.2), "")</f>
        <v>76.769083753424439</v>
      </c>
      <c r="Q6">
        <f t="shared" ref="Q6:Q42" si="8">IF(R5 = "Continuer", IF(L6&lt;M6, Q5 + ABS(L6-M6)*0.2, Q5 - ABS(L6-M6)*0.2), "")</f>
        <v>70.910916246575567</v>
      </c>
      <c r="R6" s="13" t="str">
        <f t="shared" ref="R6:R42" si="9">IF(R5 = "Continuer", IF(OR(P6&lt;=0, Q6&lt;=0), "Arret", "Continuer"), "")</f>
        <v>Continuer</v>
      </c>
    </row>
    <row r="7" spans="1:19" x14ac:dyDescent="0.3">
      <c r="A7" s="14"/>
      <c r="B7" s="14"/>
      <c r="C7" s="14"/>
      <c r="D7" s="14"/>
      <c r="E7" s="14"/>
      <c r="F7" s="14"/>
      <c r="G7" s="5">
        <f t="shared" si="0"/>
        <v>4</v>
      </c>
      <c r="H7">
        <v>42.343283014080399</v>
      </c>
      <c r="I7">
        <f t="shared" si="4"/>
        <v>46.112274636542367</v>
      </c>
      <c r="J7">
        <v>52.0108937113609</v>
      </c>
      <c r="K7">
        <f t="shared" si="5"/>
        <v>53.499181148049004</v>
      </c>
      <c r="L7">
        <f t="shared" si="1"/>
        <v>72.183268482014057</v>
      </c>
      <c r="M7">
        <f t="shared" si="2"/>
        <v>71.037313831822502</v>
      </c>
      <c r="N7">
        <f t="shared" si="6"/>
        <v>1.1459546501915554</v>
      </c>
      <c r="O7" t="str">
        <f t="shared" si="3"/>
        <v>J1</v>
      </c>
      <c r="P7">
        <f t="shared" si="7"/>
        <v>76.998274683462753</v>
      </c>
      <c r="Q7">
        <f t="shared" si="8"/>
        <v>70.681725316537253</v>
      </c>
      <c r="R7" s="13" t="str">
        <f t="shared" si="9"/>
        <v>Continuer</v>
      </c>
    </row>
    <row r="8" spans="1:19" x14ac:dyDescent="0.3">
      <c r="A8" s="14"/>
      <c r="B8" s="14"/>
      <c r="C8" s="14"/>
      <c r="D8" s="14"/>
      <c r="E8" s="14"/>
      <c r="F8" s="14"/>
      <c r="G8" s="5">
        <f t="shared" si="0"/>
        <v>5</v>
      </c>
      <c r="H8">
        <v>50.296222165367801</v>
      </c>
      <c r="I8">
        <f t="shared" si="4"/>
        <v>48.20424840095508</v>
      </c>
      <c r="J8">
        <v>41.600117788046497</v>
      </c>
      <c r="K8">
        <f t="shared" si="5"/>
        <v>47.549649468047747</v>
      </c>
      <c r="L8">
        <f t="shared" si="1"/>
        <v>73.180491638805961</v>
      </c>
      <c r="M8">
        <f t="shared" si="2"/>
        <v>68.497067508795169</v>
      </c>
      <c r="N8">
        <f t="shared" si="6"/>
        <v>4.6834241300107919</v>
      </c>
      <c r="O8" t="str">
        <f t="shared" si="3"/>
        <v>J1</v>
      </c>
      <c r="P8">
        <f t="shared" si="7"/>
        <v>77.934959509464917</v>
      </c>
      <c r="Q8">
        <f t="shared" si="8"/>
        <v>69.745040490535089</v>
      </c>
      <c r="R8" s="13" t="str">
        <f t="shared" si="9"/>
        <v>Continuer</v>
      </c>
    </row>
    <row r="9" spans="1:19" x14ac:dyDescent="0.3">
      <c r="A9" s="14"/>
      <c r="B9" s="14"/>
      <c r="C9" s="14"/>
      <c r="D9" s="14"/>
      <c r="E9" s="14"/>
      <c r="F9" s="14"/>
      <c r="G9" s="5">
        <f t="shared" si="0"/>
        <v>6</v>
      </c>
      <c r="H9">
        <v>46.898384884185504</v>
      </c>
      <c r="I9">
        <f t="shared" si="4"/>
        <v>47.551316642570292</v>
      </c>
      <c r="J9">
        <v>3.2026979901601198</v>
      </c>
      <c r="K9">
        <f t="shared" si="5"/>
        <v>25.376173729103932</v>
      </c>
      <c r="L9">
        <f t="shared" si="1"/>
        <v>73.574998313653552</v>
      </c>
      <c r="M9">
        <f t="shared" si="2"/>
        <v>58.971997835016133</v>
      </c>
      <c r="N9">
        <f t="shared" si="6"/>
        <v>14.603000478637419</v>
      </c>
      <c r="O9" t="str">
        <f t="shared" si="3"/>
        <v>J1</v>
      </c>
      <c r="P9">
        <f t="shared" si="7"/>
        <v>80.855559605192397</v>
      </c>
      <c r="Q9">
        <f t="shared" si="8"/>
        <v>66.82444039480761</v>
      </c>
      <c r="R9" s="13" t="str">
        <f t="shared" si="9"/>
        <v>Continuer</v>
      </c>
    </row>
    <row r="10" spans="1:19" x14ac:dyDescent="0.3">
      <c r="A10" s="14"/>
      <c r="B10" s="14"/>
      <c r="C10" s="14"/>
      <c r="D10" s="14"/>
      <c r="E10" s="14"/>
      <c r="F10" s="14"/>
      <c r="G10" s="5">
        <f t="shared" si="0"/>
        <v>7</v>
      </c>
      <c r="H10">
        <v>38.718176370439402</v>
      </c>
      <c r="I10">
        <f t="shared" si="4"/>
        <v>43.134746506504847</v>
      </c>
      <c r="J10">
        <v>7.4760305372258804</v>
      </c>
      <c r="K10">
        <f t="shared" si="5"/>
        <v>16.426102133164907</v>
      </c>
      <c r="L10">
        <f t="shared" si="1"/>
        <v>73.852790326236615</v>
      </c>
      <c r="M10">
        <f t="shared" si="2"/>
        <v>53.34754912963129</v>
      </c>
      <c r="N10">
        <f t="shared" si="6"/>
        <v>20.505241196605326</v>
      </c>
      <c r="O10" t="str">
        <f t="shared" si="3"/>
        <v>J1</v>
      </c>
      <c r="P10">
        <f t="shared" si="7"/>
        <v>84.956607844513456</v>
      </c>
      <c r="Q10">
        <f t="shared" si="8"/>
        <v>62.723392155486543</v>
      </c>
      <c r="R10" s="13" t="str">
        <f t="shared" si="9"/>
        <v>Continuer</v>
      </c>
    </row>
    <row r="11" spans="1:19" x14ac:dyDescent="0.3">
      <c r="A11" s="14"/>
      <c r="B11" s="14"/>
      <c r="C11" s="14"/>
      <c r="D11" s="14"/>
      <c r="E11" s="14"/>
      <c r="F11" s="14"/>
      <c r="G11" s="5">
        <f t="shared" si="0"/>
        <v>8</v>
      </c>
      <c r="H11">
        <v>49.991635720224401</v>
      </c>
      <c r="I11">
        <f t="shared" si="4"/>
        <v>46.563191113364624</v>
      </c>
      <c r="J11">
        <v>28.391967751721399</v>
      </c>
      <c r="K11">
        <f t="shared" si="5"/>
        <v>22.409034942443153</v>
      </c>
      <c r="L11">
        <f t="shared" si="1"/>
        <v>78.094901936505266</v>
      </c>
      <c r="M11">
        <f t="shared" si="2"/>
        <v>52.869988485817842</v>
      </c>
      <c r="N11">
        <f t="shared" si="6"/>
        <v>25.224913450687424</v>
      </c>
      <c r="O11" t="str">
        <f t="shared" si="3"/>
        <v>J1</v>
      </c>
      <c r="P11">
        <f t="shared" si="7"/>
        <v>90.001590534650944</v>
      </c>
      <c r="Q11">
        <f t="shared" si="8"/>
        <v>57.678409465349056</v>
      </c>
      <c r="R11" s="13" t="str">
        <f t="shared" si="9"/>
        <v>Continuer</v>
      </c>
    </row>
    <row r="12" spans="1:19" ht="18" x14ac:dyDescent="0.35">
      <c r="A12" s="14"/>
      <c r="B12" s="14"/>
      <c r="C12" s="14"/>
      <c r="D12" s="20"/>
      <c r="E12" s="14"/>
      <c r="F12" s="14"/>
      <c r="G12" s="5">
        <f t="shared" si="0"/>
        <v>9</v>
      </c>
      <c r="H12">
        <v>0.32577343234570499</v>
      </c>
      <c r="I12">
        <f t="shared" si="4"/>
        <v>23.444482272855165</v>
      </c>
      <c r="J12">
        <v>27.338640732394602</v>
      </c>
      <c r="K12">
        <f t="shared" si="5"/>
        <v>24.873837837418876</v>
      </c>
      <c r="L12">
        <f t="shared" si="1"/>
        <v>72.378906283397725</v>
      </c>
      <c r="M12">
        <f t="shared" si="2"/>
        <v>50.324421760711886</v>
      </c>
      <c r="N12">
        <f t="shared" si="6"/>
        <v>22.05448452268584</v>
      </c>
      <c r="O12" t="str">
        <f t="shared" si="3"/>
        <v>J1</v>
      </c>
      <c r="P12">
        <f t="shared" si="7"/>
        <v>94.412487439188112</v>
      </c>
      <c r="Q12">
        <f t="shared" si="8"/>
        <v>53.267512560811888</v>
      </c>
      <c r="R12" s="13" t="str">
        <f t="shared" si="9"/>
        <v>Continuer</v>
      </c>
    </row>
    <row r="13" spans="1:19" x14ac:dyDescent="0.3">
      <c r="A13" s="14"/>
      <c r="B13" s="14"/>
      <c r="C13" s="14"/>
      <c r="D13" s="14"/>
      <c r="E13" s="14"/>
      <c r="F13" s="14"/>
      <c r="G13" s="5">
        <f t="shared" si="0"/>
        <v>10</v>
      </c>
      <c r="H13">
        <v>17.834654053838602</v>
      </c>
      <c r="I13">
        <f t="shared" si="4"/>
        <v>20.639568163346883</v>
      </c>
      <c r="J13">
        <v>13.0263804872151</v>
      </c>
      <c r="K13">
        <f t="shared" si="5"/>
        <v>18.950109162316988</v>
      </c>
      <c r="L13">
        <f t="shared" si="1"/>
        <v>74.344568472770433</v>
      </c>
      <c r="M13">
        <f t="shared" si="2"/>
        <v>44.867302457495114</v>
      </c>
      <c r="N13">
        <f t="shared" si="6"/>
        <v>29.477266015275319</v>
      </c>
      <c r="O13" t="str">
        <f t="shared" si="3"/>
        <v>J1</v>
      </c>
      <c r="P13">
        <f t="shared" si="7"/>
        <v>100.30794064224318</v>
      </c>
      <c r="Q13">
        <f t="shared" si="8"/>
        <v>47.372059357756825</v>
      </c>
      <c r="R13" s="13" t="str">
        <f t="shared" si="9"/>
        <v>Continuer</v>
      </c>
    </row>
    <row r="14" spans="1:19" x14ac:dyDescent="0.3">
      <c r="A14" s="14"/>
      <c r="B14" s="14"/>
      <c r="C14" s="14"/>
      <c r="D14" s="14"/>
      <c r="E14" s="14"/>
      <c r="F14" s="14"/>
      <c r="G14" s="5">
        <f t="shared" si="0"/>
        <v>11</v>
      </c>
      <c r="H14">
        <v>27.495912952758299</v>
      </c>
      <c r="I14">
        <f t="shared" si="4"/>
        <v>24.067740558052591</v>
      </c>
      <c r="J14">
        <v>43.950099186167797</v>
      </c>
      <c r="K14">
        <f t="shared" si="5"/>
        <v>31.450104174242391</v>
      </c>
      <c r="L14">
        <f t="shared" si="1"/>
        <v>79.842654672791269</v>
      </c>
      <c r="M14">
        <f t="shared" si="2"/>
        <v>45.740483220126734</v>
      </c>
      <c r="N14">
        <f t="shared" si="6"/>
        <v>34.102171452664535</v>
      </c>
      <c r="O14" t="str">
        <f t="shared" si="3"/>
        <v>J1</v>
      </c>
      <c r="P14">
        <f t="shared" si="7"/>
        <v>107.12837493277608</v>
      </c>
      <c r="Q14">
        <f t="shared" si="8"/>
        <v>40.551625067223917</v>
      </c>
      <c r="R14" s="13" t="str">
        <f t="shared" si="9"/>
        <v>Continuer</v>
      </c>
    </row>
    <row r="15" spans="1:19" x14ac:dyDescent="0.3">
      <c r="A15" s="14"/>
      <c r="B15" s="14"/>
      <c r="C15" s="14"/>
      <c r="D15" s="14"/>
      <c r="E15" s="14"/>
      <c r="F15" s="14"/>
      <c r="G15" s="5">
        <f t="shared" si="0"/>
        <v>12</v>
      </c>
      <c r="H15">
        <v>81.571845740628405</v>
      </c>
      <c r="I15">
        <f t="shared" si="4"/>
        <v>52.819793149340498</v>
      </c>
      <c r="J15">
        <v>8.5211181503051208</v>
      </c>
      <c r="K15">
        <f t="shared" si="5"/>
        <v>19.985611162273756</v>
      </c>
      <c r="L15">
        <f t="shared" si="1"/>
        <v>96.117779712679464</v>
      </c>
      <c r="M15">
        <f t="shared" si="2"/>
        <v>36.380382011966248</v>
      </c>
      <c r="N15">
        <f t="shared" si="6"/>
        <v>59.737397700713217</v>
      </c>
      <c r="O15" t="str">
        <f t="shared" si="3"/>
        <v>J1</v>
      </c>
      <c r="P15">
        <f t="shared" si="7"/>
        <v>119.07585447291873</v>
      </c>
      <c r="Q15">
        <f t="shared" si="8"/>
        <v>28.604145527081272</v>
      </c>
      <c r="R15" s="13" t="str">
        <f t="shared" si="9"/>
        <v>Continuer</v>
      </c>
    </row>
    <row r="16" spans="1:19" x14ac:dyDescent="0.3">
      <c r="A16" s="14"/>
      <c r="B16" s="14"/>
      <c r="C16" s="14"/>
      <c r="D16" s="14"/>
      <c r="E16" s="14"/>
      <c r="F16" s="14"/>
      <c r="G16" s="5">
        <f t="shared" si="0"/>
        <v>13</v>
      </c>
      <c r="H16">
        <v>-8.6592984334937899</v>
      </c>
      <c r="I16">
        <f t="shared" si="4"/>
        <v>22.080247357923355</v>
      </c>
      <c r="J16">
        <v>28.3735093052418</v>
      </c>
      <c r="K16">
        <f t="shared" si="5"/>
        <v>24.179560233757776</v>
      </c>
      <c r="L16">
        <f t="shared" si="1"/>
        <v>92.185197074212454</v>
      </c>
      <c r="M16">
        <f t="shared" si="2"/>
        <v>29.694725962460002</v>
      </c>
      <c r="N16">
        <f t="shared" si="6"/>
        <v>62.490471111752456</v>
      </c>
      <c r="O16" t="str">
        <f t="shared" si="3"/>
        <v>J1</v>
      </c>
      <c r="P16">
        <f t="shared" si="7"/>
        <v>131.57394869526922</v>
      </c>
      <c r="Q16">
        <f t="shared" si="8"/>
        <v>16.10605130473078</v>
      </c>
      <c r="R16" s="13" t="str">
        <f t="shared" si="9"/>
        <v>Continuer</v>
      </c>
    </row>
    <row r="17" spans="1:18" x14ac:dyDescent="0.3">
      <c r="A17" s="14"/>
      <c r="B17" s="14"/>
      <c r="C17" s="14"/>
      <c r="D17" s="14"/>
      <c r="E17" s="14"/>
      <c r="F17" s="14"/>
      <c r="G17" s="5">
        <f t="shared" si="0"/>
        <v>14</v>
      </c>
      <c r="H17">
        <v>13.659973252660899</v>
      </c>
      <c r="I17">
        <f t="shared" si="4"/>
        <v>17.870110305292126</v>
      </c>
      <c r="J17">
        <v>9.8141932799174505</v>
      </c>
      <c r="K17">
        <f t="shared" si="5"/>
        <v>16.996876756837615</v>
      </c>
      <c r="L17">
        <f t="shared" si="1"/>
        <v>99.249808208805291</v>
      </c>
      <c r="M17">
        <f t="shared" si="2"/>
        <v>18.072986616046592</v>
      </c>
      <c r="N17">
        <f t="shared" si="6"/>
        <v>81.176821592758699</v>
      </c>
      <c r="O17" t="str">
        <f t="shared" si="3"/>
        <v>J1</v>
      </c>
      <c r="P17">
        <f t="shared" si="7"/>
        <v>147.80931301382097</v>
      </c>
      <c r="Q17">
        <f t="shared" si="8"/>
        <v>-0.12931301382096194</v>
      </c>
      <c r="R17" s="13" t="str">
        <f t="shared" si="9"/>
        <v>Arret</v>
      </c>
    </row>
    <row r="18" spans="1:18" x14ac:dyDescent="0.3">
      <c r="A18" s="14"/>
      <c r="B18" s="14"/>
      <c r="C18" s="14"/>
      <c r="D18" s="14"/>
      <c r="E18" s="14"/>
      <c r="F18" s="14"/>
      <c r="G18" s="5" t="str">
        <f t="shared" si="0"/>
        <v/>
      </c>
      <c r="H18">
        <v>-21.256317940708598</v>
      </c>
      <c r="I18" t="str">
        <f t="shared" si="4"/>
        <v/>
      </c>
      <c r="J18">
        <v>17.532662221273799</v>
      </c>
      <c r="K18" t="str">
        <f t="shared" si="5"/>
        <v/>
      </c>
      <c r="L18" t="str">
        <f t="shared" si="1"/>
        <v/>
      </c>
      <c r="M18" t="str">
        <f t="shared" si="2"/>
        <v/>
      </c>
      <c r="N18" t="str">
        <f t="shared" si="6"/>
        <v/>
      </c>
      <c r="O18" t="str">
        <f t="shared" si="3"/>
        <v/>
      </c>
      <c r="P18" t="str">
        <f t="shared" si="7"/>
        <v/>
      </c>
      <c r="Q18" t="str">
        <f t="shared" si="8"/>
        <v/>
      </c>
      <c r="R18" s="13" t="str">
        <f t="shared" si="9"/>
        <v/>
      </c>
    </row>
    <row r="19" spans="1:18" x14ac:dyDescent="0.3">
      <c r="A19" s="14"/>
      <c r="B19" s="14"/>
      <c r="C19" s="14"/>
      <c r="D19" s="14"/>
      <c r="E19" s="14"/>
      <c r="F19" s="14"/>
      <c r="G19" s="5" t="str">
        <f t="shared" si="0"/>
        <v/>
      </c>
      <c r="H19">
        <v>32.991502001605397</v>
      </c>
      <c r="I19" t="str">
        <f t="shared" si="4"/>
        <v/>
      </c>
      <c r="J19">
        <v>43.205470879725702</v>
      </c>
      <c r="K19" t="str">
        <f t="shared" si="5"/>
        <v/>
      </c>
      <c r="L19" t="str">
        <f t="shared" si="1"/>
        <v/>
      </c>
      <c r="M19" t="str">
        <f t="shared" si="2"/>
        <v/>
      </c>
      <c r="N19" t="str">
        <f t="shared" si="6"/>
        <v/>
      </c>
      <c r="O19" t="str">
        <f t="shared" si="3"/>
        <v/>
      </c>
      <c r="P19" t="str">
        <f t="shared" si="7"/>
        <v/>
      </c>
      <c r="Q19" t="str">
        <f t="shared" si="8"/>
        <v/>
      </c>
      <c r="R19" s="13" t="str">
        <f t="shared" si="9"/>
        <v/>
      </c>
    </row>
    <row r="20" spans="1:18" x14ac:dyDescent="0.3">
      <c r="A20" s="14"/>
      <c r="B20" s="14"/>
      <c r="C20" s="14"/>
      <c r="D20" s="14"/>
      <c r="E20" s="14"/>
      <c r="F20" s="14"/>
      <c r="G20" s="5" t="str">
        <f t="shared" si="0"/>
        <v/>
      </c>
      <c r="H20">
        <v>-18.092845453681701</v>
      </c>
      <c r="I20" t="str">
        <f t="shared" si="4"/>
        <v/>
      </c>
      <c r="J20">
        <v>53.457233841471101</v>
      </c>
      <c r="K20" t="str">
        <f t="shared" si="5"/>
        <v/>
      </c>
      <c r="L20" t="str">
        <f t="shared" si="1"/>
        <v/>
      </c>
      <c r="M20" t="str">
        <f t="shared" si="2"/>
        <v/>
      </c>
      <c r="N20" t="str">
        <f t="shared" si="6"/>
        <v/>
      </c>
      <c r="O20" t="str">
        <f t="shared" si="3"/>
        <v/>
      </c>
      <c r="P20" t="str">
        <f t="shared" si="7"/>
        <v/>
      </c>
      <c r="Q20" t="str">
        <f t="shared" si="8"/>
        <v/>
      </c>
      <c r="R20" s="13" t="str">
        <f t="shared" si="9"/>
        <v/>
      </c>
    </row>
    <row r="21" spans="1:18" x14ac:dyDescent="0.3">
      <c r="A21" s="14"/>
      <c r="B21" s="14"/>
      <c r="C21" s="14"/>
      <c r="D21" s="14"/>
      <c r="E21" s="14"/>
      <c r="F21" s="14"/>
      <c r="G21" s="5" t="str">
        <f t="shared" si="0"/>
        <v/>
      </c>
      <c r="H21">
        <v>26.402243122145499</v>
      </c>
      <c r="I21" t="str">
        <f t="shared" si="4"/>
        <v/>
      </c>
      <c r="J21">
        <v>42.574373200701501</v>
      </c>
      <c r="K21" t="str">
        <f t="shared" si="5"/>
        <v/>
      </c>
      <c r="L21" t="str">
        <f t="shared" si="1"/>
        <v/>
      </c>
      <c r="M21" t="str">
        <f t="shared" si="2"/>
        <v/>
      </c>
      <c r="N21" t="str">
        <f t="shared" si="6"/>
        <v/>
      </c>
      <c r="O21" t="str">
        <f t="shared" si="3"/>
        <v/>
      </c>
      <c r="P21" t="str">
        <f t="shared" si="7"/>
        <v/>
      </c>
      <c r="Q21" t="str">
        <f t="shared" si="8"/>
        <v/>
      </c>
      <c r="R21" s="13" t="str">
        <f t="shared" si="9"/>
        <v/>
      </c>
    </row>
    <row r="22" spans="1:18" x14ac:dyDescent="0.3">
      <c r="A22" s="14"/>
      <c r="B22" s="14"/>
      <c r="C22" s="14"/>
      <c r="D22" s="14"/>
      <c r="E22" s="14"/>
      <c r="F22" s="14"/>
      <c r="G22" s="5" t="str">
        <f t="shared" si="0"/>
        <v/>
      </c>
      <c r="H22">
        <v>45.9617635159549</v>
      </c>
      <c r="I22" t="str">
        <f t="shared" si="4"/>
        <v/>
      </c>
      <c r="J22">
        <v>63.299963773358499</v>
      </c>
      <c r="K22" t="str">
        <f t="shared" si="5"/>
        <v/>
      </c>
      <c r="L22" t="str">
        <f t="shared" si="1"/>
        <v/>
      </c>
      <c r="M22" t="str">
        <f t="shared" si="2"/>
        <v/>
      </c>
      <c r="N22" t="str">
        <f t="shared" si="6"/>
        <v/>
      </c>
      <c r="O22" t="str">
        <f t="shared" si="3"/>
        <v/>
      </c>
      <c r="P22" t="str">
        <f t="shared" si="7"/>
        <v/>
      </c>
      <c r="Q22" t="str">
        <f t="shared" si="8"/>
        <v/>
      </c>
      <c r="R22" s="13" t="str">
        <f t="shared" si="9"/>
        <v/>
      </c>
    </row>
    <row r="23" spans="1:18" x14ac:dyDescent="0.3">
      <c r="A23" s="14"/>
      <c r="B23" s="14"/>
      <c r="C23" s="14"/>
      <c r="D23" s="14"/>
      <c r="E23" s="14"/>
      <c r="F23" s="14"/>
      <c r="G23" s="5" t="str">
        <f t="shared" si="0"/>
        <v/>
      </c>
      <c r="H23">
        <v>47.671842547700997</v>
      </c>
      <c r="I23" t="str">
        <f t="shared" si="4"/>
        <v/>
      </c>
      <c r="J23">
        <v>62.398799618481299</v>
      </c>
      <c r="K23" t="str">
        <f t="shared" si="5"/>
        <v/>
      </c>
      <c r="L23" t="str">
        <f t="shared" si="1"/>
        <v/>
      </c>
      <c r="M23" t="str">
        <f t="shared" si="2"/>
        <v/>
      </c>
      <c r="N23" t="str">
        <f t="shared" si="6"/>
        <v/>
      </c>
      <c r="O23" t="str">
        <f t="shared" si="3"/>
        <v/>
      </c>
      <c r="P23" t="str">
        <f t="shared" si="7"/>
        <v/>
      </c>
      <c r="Q23" t="str">
        <f t="shared" si="8"/>
        <v/>
      </c>
      <c r="R23" s="13" t="str">
        <f t="shared" si="9"/>
        <v/>
      </c>
    </row>
    <row r="24" spans="1:18" x14ac:dyDescent="0.3">
      <c r="A24" s="14"/>
      <c r="B24" s="14"/>
      <c r="C24" s="14"/>
      <c r="D24" s="14"/>
      <c r="E24" s="14"/>
      <c r="F24" s="14"/>
      <c r="G24" s="5" t="str">
        <f t="shared" si="0"/>
        <v/>
      </c>
      <c r="H24">
        <v>54.978581393456302</v>
      </c>
      <c r="I24" t="str">
        <f t="shared" si="4"/>
        <v/>
      </c>
      <c r="J24">
        <v>44.812904844787198</v>
      </c>
      <c r="K24" t="str">
        <f t="shared" si="5"/>
        <v/>
      </c>
      <c r="L24" t="str">
        <f t="shared" si="1"/>
        <v/>
      </c>
      <c r="M24" t="str">
        <f t="shared" si="2"/>
        <v/>
      </c>
      <c r="N24" t="str">
        <f t="shared" si="6"/>
        <v/>
      </c>
      <c r="O24" t="str">
        <f t="shared" si="3"/>
        <v/>
      </c>
      <c r="P24" t="str">
        <f t="shared" si="7"/>
        <v/>
      </c>
      <c r="Q24" t="str">
        <f t="shared" si="8"/>
        <v/>
      </c>
      <c r="R24" s="13" t="str">
        <f t="shared" si="9"/>
        <v/>
      </c>
    </row>
    <row r="25" spans="1:18" x14ac:dyDescent="0.3">
      <c r="A25" s="14"/>
      <c r="B25" s="14"/>
      <c r="C25" s="14"/>
      <c r="D25" s="14"/>
      <c r="E25" s="14"/>
      <c r="F25" s="14"/>
      <c r="G25" s="5" t="str">
        <f t="shared" si="0"/>
        <v/>
      </c>
      <c r="H25">
        <v>31.231578975443501</v>
      </c>
      <c r="I25" t="str">
        <f t="shared" si="4"/>
        <v/>
      </c>
      <c r="J25">
        <v>7.6258465328545002</v>
      </c>
      <c r="K25" t="str">
        <f t="shared" si="5"/>
        <v/>
      </c>
      <c r="L25" t="str">
        <f t="shared" si="1"/>
        <v/>
      </c>
      <c r="M25" t="str">
        <f t="shared" si="2"/>
        <v/>
      </c>
      <c r="N25" t="str">
        <f t="shared" si="6"/>
        <v/>
      </c>
      <c r="O25" t="str">
        <f t="shared" si="3"/>
        <v/>
      </c>
      <c r="P25" t="str">
        <f t="shared" si="7"/>
        <v/>
      </c>
      <c r="Q25" t="str">
        <f t="shared" si="8"/>
        <v/>
      </c>
      <c r="R25" s="13" t="str">
        <f t="shared" si="9"/>
        <v/>
      </c>
    </row>
    <row r="26" spans="1:18" x14ac:dyDescent="0.3">
      <c r="A26" s="14"/>
      <c r="B26" s="14"/>
      <c r="C26" s="14"/>
      <c r="D26" s="14"/>
      <c r="E26" s="14"/>
      <c r="F26" s="14"/>
      <c r="G26" s="5" t="str">
        <f t="shared" si="0"/>
        <v/>
      </c>
      <c r="H26">
        <v>-6.0479969749406397</v>
      </c>
      <c r="I26" t="str">
        <f t="shared" si="4"/>
        <v/>
      </c>
      <c r="J26">
        <v>74.456847233645405</v>
      </c>
      <c r="K26" t="str">
        <f t="shared" si="5"/>
        <v/>
      </c>
      <c r="L26" t="str">
        <f t="shared" si="1"/>
        <v/>
      </c>
      <c r="M26" t="str">
        <f t="shared" si="2"/>
        <v/>
      </c>
      <c r="N26" t="str">
        <f t="shared" si="6"/>
        <v/>
      </c>
      <c r="O26" t="str">
        <f t="shared" si="3"/>
        <v/>
      </c>
      <c r="P26" t="str">
        <f t="shared" si="7"/>
        <v/>
      </c>
      <c r="Q26" t="str">
        <f t="shared" si="8"/>
        <v/>
      </c>
      <c r="R26" s="13" t="str">
        <f t="shared" si="9"/>
        <v/>
      </c>
    </row>
    <row r="27" spans="1:18" x14ac:dyDescent="0.3">
      <c r="A27" s="14"/>
      <c r="B27" s="14"/>
      <c r="C27" s="14"/>
      <c r="D27" s="14"/>
      <c r="E27" s="14"/>
      <c r="F27" s="14"/>
      <c r="G27" s="5" t="str">
        <f t="shared" si="0"/>
        <v/>
      </c>
      <c r="H27">
        <v>34.914959003029999</v>
      </c>
      <c r="I27" t="str">
        <f t="shared" si="4"/>
        <v/>
      </c>
      <c r="J27">
        <v>50.805510498369998</v>
      </c>
      <c r="K27" t="str">
        <f t="shared" si="5"/>
        <v/>
      </c>
      <c r="L27" t="str">
        <f t="shared" si="1"/>
        <v/>
      </c>
      <c r="M27" t="str">
        <f t="shared" si="2"/>
        <v/>
      </c>
      <c r="N27" t="str">
        <f t="shared" si="6"/>
        <v/>
      </c>
      <c r="O27" t="str">
        <f t="shared" si="3"/>
        <v/>
      </c>
      <c r="P27" t="str">
        <f t="shared" si="7"/>
        <v/>
      </c>
      <c r="Q27" t="str">
        <f t="shared" si="8"/>
        <v/>
      </c>
      <c r="R27" s="13" t="str">
        <f t="shared" si="9"/>
        <v/>
      </c>
    </row>
    <row r="28" spans="1:18" x14ac:dyDescent="0.3">
      <c r="A28" s="14"/>
      <c r="B28" s="14"/>
      <c r="C28" s="14"/>
      <c r="D28" s="14"/>
      <c r="E28" s="14"/>
      <c r="F28" s="14"/>
      <c r="G28" s="5" t="str">
        <f t="shared" si="0"/>
        <v/>
      </c>
      <c r="I28" t="str">
        <f t="shared" si="4"/>
        <v/>
      </c>
      <c r="K28" t="str">
        <f t="shared" si="5"/>
        <v/>
      </c>
      <c r="L28" t="str">
        <f t="shared" si="1"/>
        <v/>
      </c>
      <c r="M28" t="str">
        <f t="shared" si="2"/>
        <v/>
      </c>
      <c r="N28" t="str">
        <f t="shared" si="6"/>
        <v/>
      </c>
      <c r="O28" t="str">
        <f t="shared" si="3"/>
        <v/>
      </c>
      <c r="P28" t="str">
        <f t="shared" si="7"/>
        <v/>
      </c>
      <c r="Q28" t="str">
        <f t="shared" si="8"/>
        <v/>
      </c>
      <c r="R28" s="13" t="str">
        <f t="shared" si="9"/>
        <v/>
      </c>
    </row>
    <row r="29" spans="1:18" x14ac:dyDescent="0.3">
      <c r="A29" s="14"/>
      <c r="B29" s="14"/>
      <c r="C29" s="14"/>
      <c r="D29" s="14"/>
      <c r="E29" s="14"/>
      <c r="F29" s="14"/>
      <c r="G29" s="5" t="str">
        <f t="shared" si="0"/>
        <v/>
      </c>
      <c r="I29" t="str">
        <f t="shared" si="4"/>
        <v/>
      </c>
      <c r="K29" t="str">
        <f t="shared" si="5"/>
        <v/>
      </c>
      <c r="L29" t="str">
        <f t="shared" si="1"/>
        <v/>
      </c>
      <c r="M29" t="str">
        <f t="shared" si="2"/>
        <v/>
      </c>
      <c r="N29" t="str">
        <f t="shared" si="6"/>
        <v/>
      </c>
      <c r="O29" t="str">
        <f t="shared" si="3"/>
        <v/>
      </c>
      <c r="P29" t="str">
        <f t="shared" si="7"/>
        <v/>
      </c>
      <c r="Q29" t="str">
        <f t="shared" si="8"/>
        <v/>
      </c>
      <c r="R29" s="13" t="str">
        <f t="shared" si="9"/>
        <v/>
      </c>
    </row>
    <row r="30" spans="1:18" x14ac:dyDescent="0.3">
      <c r="A30" s="14"/>
      <c r="B30" s="14"/>
      <c r="C30" s="14"/>
      <c r="D30" s="14"/>
      <c r="E30" s="14"/>
      <c r="F30" s="14"/>
      <c r="G30" s="5" t="str">
        <f t="shared" si="0"/>
        <v/>
      </c>
      <c r="I30" t="str">
        <f t="shared" si="4"/>
        <v/>
      </c>
      <c r="K30" t="str">
        <f t="shared" si="5"/>
        <v/>
      </c>
      <c r="L30" t="str">
        <f t="shared" si="1"/>
        <v/>
      </c>
      <c r="M30" t="str">
        <f t="shared" si="2"/>
        <v/>
      </c>
      <c r="N30" t="str">
        <f t="shared" si="6"/>
        <v/>
      </c>
      <c r="O30" t="str">
        <f t="shared" si="3"/>
        <v/>
      </c>
      <c r="P30" t="str">
        <f t="shared" si="7"/>
        <v/>
      </c>
      <c r="Q30" t="str">
        <f t="shared" si="8"/>
        <v/>
      </c>
      <c r="R30" s="13" t="str">
        <f t="shared" si="9"/>
        <v/>
      </c>
    </row>
    <row r="31" spans="1:18" x14ac:dyDescent="0.3">
      <c r="A31" s="14"/>
      <c r="B31" s="14"/>
      <c r="C31" s="14"/>
      <c r="D31" s="14"/>
      <c r="E31" s="14"/>
      <c r="F31" s="14"/>
      <c r="G31" s="5" t="str">
        <f t="shared" si="0"/>
        <v/>
      </c>
      <c r="I31" t="str">
        <f t="shared" si="4"/>
        <v/>
      </c>
      <c r="K31" t="str">
        <f t="shared" si="5"/>
        <v/>
      </c>
      <c r="L31" t="str">
        <f t="shared" si="1"/>
        <v/>
      </c>
      <c r="M31" t="str">
        <f t="shared" si="2"/>
        <v/>
      </c>
      <c r="N31" t="str">
        <f t="shared" si="6"/>
        <v/>
      </c>
      <c r="O31" t="str">
        <f t="shared" si="3"/>
        <v/>
      </c>
      <c r="P31" t="str">
        <f t="shared" si="7"/>
        <v/>
      </c>
      <c r="Q31" t="str">
        <f t="shared" si="8"/>
        <v/>
      </c>
      <c r="R31" s="13" t="str">
        <f t="shared" si="9"/>
        <v/>
      </c>
    </row>
    <row r="32" spans="1:18" x14ac:dyDescent="0.3">
      <c r="A32" s="14"/>
      <c r="B32" s="14"/>
      <c r="C32" s="14"/>
      <c r="D32" s="14"/>
      <c r="E32" s="14"/>
      <c r="F32" s="14"/>
      <c r="G32" s="5" t="str">
        <f t="shared" si="0"/>
        <v/>
      </c>
      <c r="I32" t="str">
        <f t="shared" si="4"/>
        <v/>
      </c>
      <c r="K32" t="str">
        <f t="shared" si="5"/>
        <v/>
      </c>
      <c r="L32" t="str">
        <f t="shared" si="1"/>
        <v/>
      </c>
      <c r="M32" t="str">
        <f t="shared" si="2"/>
        <v/>
      </c>
      <c r="N32" t="str">
        <f t="shared" si="6"/>
        <v/>
      </c>
      <c r="O32" t="str">
        <f t="shared" si="3"/>
        <v/>
      </c>
      <c r="P32" t="str">
        <f t="shared" si="7"/>
        <v/>
      </c>
      <c r="Q32" t="str">
        <f t="shared" si="8"/>
        <v/>
      </c>
      <c r="R32" s="13" t="str">
        <f t="shared" si="9"/>
        <v/>
      </c>
    </row>
    <row r="33" spans="1:19" x14ac:dyDescent="0.3">
      <c r="A33" s="14"/>
      <c r="B33" s="14"/>
      <c r="C33" s="14"/>
      <c r="D33" s="14"/>
      <c r="E33" s="14"/>
      <c r="F33" s="14"/>
      <c r="G33" s="5" t="str">
        <f t="shared" si="0"/>
        <v/>
      </c>
      <c r="I33" t="str">
        <f t="shared" si="4"/>
        <v/>
      </c>
      <c r="K33" t="str">
        <f t="shared" si="5"/>
        <v/>
      </c>
      <c r="L33" t="str">
        <f t="shared" si="1"/>
        <v/>
      </c>
      <c r="M33" t="str">
        <f t="shared" si="2"/>
        <v/>
      </c>
      <c r="N33" t="str">
        <f t="shared" si="6"/>
        <v/>
      </c>
      <c r="O33" t="str">
        <f t="shared" si="3"/>
        <v/>
      </c>
      <c r="P33" t="str">
        <f t="shared" si="7"/>
        <v/>
      </c>
      <c r="Q33" t="str">
        <f t="shared" si="8"/>
        <v/>
      </c>
      <c r="R33" s="13" t="str">
        <f t="shared" si="9"/>
        <v/>
      </c>
    </row>
    <row r="34" spans="1:19" x14ac:dyDescent="0.3">
      <c r="A34" s="14"/>
      <c r="B34" s="14"/>
      <c r="C34" s="14"/>
      <c r="D34" s="14"/>
      <c r="E34" s="14"/>
      <c r="F34" s="14"/>
      <c r="G34" s="5" t="str">
        <f t="shared" si="0"/>
        <v/>
      </c>
      <c r="I34" t="str">
        <f t="shared" si="4"/>
        <v/>
      </c>
      <c r="K34" t="str">
        <f t="shared" si="5"/>
        <v/>
      </c>
      <c r="L34" t="str">
        <f t="shared" si="1"/>
        <v/>
      </c>
      <c r="M34" t="str">
        <f t="shared" si="2"/>
        <v/>
      </c>
      <c r="N34" t="str">
        <f t="shared" si="6"/>
        <v/>
      </c>
      <c r="O34" t="str">
        <f t="shared" si="3"/>
        <v/>
      </c>
      <c r="P34" t="str">
        <f t="shared" si="7"/>
        <v/>
      </c>
      <c r="Q34" t="str">
        <f t="shared" si="8"/>
        <v/>
      </c>
      <c r="R34" s="13" t="str">
        <f t="shared" si="9"/>
        <v/>
      </c>
    </row>
    <row r="35" spans="1:19" x14ac:dyDescent="0.3">
      <c r="A35" s="14"/>
      <c r="B35" s="14"/>
      <c r="C35" s="14"/>
      <c r="D35" s="14"/>
      <c r="E35" s="14"/>
      <c r="F35" s="14"/>
      <c r="G35" s="5" t="str">
        <f t="shared" si="0"/>
        <v/>
      </c>
      <c r="I35" t="str">
        <f t="shared" si="4"/>
        <v/>
      </c>
      <c r="K35" t="str">
        <f t="shared" si="5"/>
        <v/>
      </c>
      <c r="L35" t="str">
        <f t="shared" si="1"/>
        <v/>
      </c>
      <c r="M35" t="str">
        <f t="shared" si="2"/>
        <v/>
      </c>
      <c r="N35" t="str">
        <f t="shared" si="6"/>
        <v/>
      </c>
      <c r="O35" t="str">
        <f t="shared" si="3"/>
        <v/>
      </c>
      <c r="P35" t="str">
        <f t="shared" si="7"/>
        <v/>
      </c>
      <c r="Q35" t="str">
        <f t="shared" si="8"/>
        <v/>
      </c>
      <c r="R35" s="13" t="str">
        <f t="shared" si="9"/>
        <v/>
      </c>
    </row>
    <row r="36" spans="1:19" x14ac:dyDescent="0.3">
      <c r="A36" s="14"/>
      <c r="B36" s="14"/>
      <c r="C36" s="14"/>
      <c r="D36" s="14"/>
      <c r="E36" s="14"/>
      <c r="F36" s="14"/>
      <c r="G36" s="5" t="str">
        <f t="shared" si="0"/>
        <v/>
      </c>
      <c r="I36" t="str">
        <f t="shared" si="4"/>
        <v/>
      </c>
      <c r="K36" t="str">
        <f t="shared" si="5"/>
        <v/>
      </c>
      <c r="L36" t="str">
        <f t="shared" si="1"/>
        <v/>
      </c>
      <c r="M36" t="str">
        <f t="shared" si="2"/>
        <v/>
      </c>
      <c r="N36" t="str">
        <f t="shared" si="6"/>
        <v/>
      </c>
      <c r="O36" t="str">
        <f t="shared" si="3"/>
        <v/>
      </c>
      <c r="P36" t="str">
        <f t="shared" si="7"/>
        <v/>
      </c>
      <c r="Q36" t="str">
        <f t="shared" si="8"/>
        <v/>
      </c>
      <c r="R36" s="13" t="str">
        <f t="shared" si="9"/>
        <v/>
      </c>
    </row>
    <row r="37" spans="1:19" x14ac:dyDescent="0.3">
      <c r="A37" s="14"/>
      <c r="B37" s="14"/>
      <c r="C37" s="14"/>
      <c r="D37" s="14"/>
      <c r="E37" s="14"/>
      <c r="F37" s="14"/>
      <c r="G37" s="5" t="str">
        <f t="shared" si="0"/>
        <v/>
      </c>
      <c r="I37" t="str">
        <f t="shared" si="4"/>
        <v/>
      </c>
      <c r="K37" t="str">
        <f t="shared" si="5"/>
        <v/>
      </c>
      <c r="L37" t="str">
        <f t="shared" si="1"/>
        <v/>
      </c>
      <c r="M37" t="str">
        <f t="shared" si="2"/>
        <v/>
      </c>
      <c r="N37" t="str">
        <f t="shared" si="6"/>
        <v/>
      </c>
      <c r="O37" t="str">
        <f t="shared" si="3"/>
        <v/>
      </c>
      <c r="P37" t="str">
        <f t="shared" si="7"/>
        <v/>
      </c>
      <c r="Q37" t="str">
        <f t="shared" si="8"/>
        <v/>
      </c>
      <c r="R37" s="13" t="str">
        <f t="shared" si="9"/>
        <v/>
      </c>
    </row>
    <row r="38" spans="1:19" x14ac:dyDescent="0.3">
      <c r="A38" s="14"/>
      <c r="B38" s="14"/>
      <c r="C38" s="14"/>
      <c r="D38" s="14"/>
      <c r="E38" s="14"/>
      <c r="F38" s="14"/>
      <c r="G38" s="5" t="str">
        <f t="shared" si="0"/>
        <v/>
      </c>
      <c r="I38" t="str">
        <f t="shared" si="4"/>
        <v/>
      </c>
      <c r="K38" t="str">
        <f t="shared" si="5"/>
        <v/>
      </c>
      <c r="L38" t="str">
        <f t="shared" si="1"/>
        <v/>
      </c>
      <c r="M38" t="str">
        <f t="shared" si="2"/>
        <v/>
      </c>
      <c r="N38" t="str">
        <f t="shared" si="6"/>
        <v/>
      </c>
      <c r="O38" t="str">
        <f t="shared" si="3"/>
        <v/>
      </c>
      <c r="P38" t="str">
        <f t="shared" si="7"/>
        <v/>
      </c>
      <c r="Q38" t="str">
        <f t="shared" si="8"/>
        <v/>
      </c>
      <c r="R38" s="13" t="str">
        <f t="shared" si="9"/>
        <v/>
      </c>
    </row>
    <row r="39" spans="1:19" x14ac:dyDescent="0.3">
      <c r="A39" s="14"/>
      <c r="B39" s="14"/>
      <c r="C39" s="14"/>
      <c r="D39" s="14"/>
      <c r="E39" s="14"/>
      <c r="F39" s="14"/>
      <c r="G39" s="5" t="str">
        <f t="shared" si="0"/>
        <v/>
      </c>
      <c r="I39" t="str">
        <f t="shared" si="4"/>
        <v/>
      </c>
      <c r="K39" t="str">
        <f t="shared" si="5"/>
        <v/>
      </c>
      <c r="L39" t="str">
        <f t="shared" si="1"/>
        <v/>
      </c>
      <c r="M39" t="str">
        <f t="shared" si="2"/>
        <v/>
      </c>
      <c r="N39" t="str">
        <f t="shared" si="6"/>
        <v/>
      </c>
      <c r="O39" t="str">
        <f t="shared" si="3"/>
        <v/>
      </c>
      <c r="P39" t="str">
        <f t="shared" si="7"/>
        <v/>
      </c>
      <c r="Q39" t="str">
        <f t="shared" si="8"/>
        <v/>
      </c>
      <c r="R39" s="13" t="str">
        <f t="shared" si="9"/>
        <v/>
      </c>
    </row>
    <row r="40" spans="1:19" x14ac:dyDescent="0.3">
      <c r="A40" s="14"/>
      <c r="B40" s="14"/>
      <c r="C40" s="14"/>
      <c r="D40" s="14"/>
      <c r="E40" s="14"/>
      <c r="F40" s="14"/>
      <c r="G40" s="5" t="str">
        <f t="shared" si="0"/>
        <v/>
      </c>
      <c r="I40" t="str">
        <f t="shared" si="4"/>
        <v/>
      </c>
      <c r="K40" t="str">
        <f t="shared" si="5"/>
        <v/>
      </c>
      <c r="L40" t="str">
        <f t="shared" si="1"/>
        <v/>
      </c>
      <c r="M40" t="str">
        <f t="shared" si="2"/>
        <v/>
      </c>
      <c r="N40" t="str">
        <f t="shared" si="6"/>
        <v/>
      </c>
      <c r="O40" t="str">
        <f t="shared" si="3"/>
        <v/>
      </c>
      <c r="P40" t="str">
        <f t="shared" si="7"/>
        <v/>
      </c>
      <c r="Q40" t="str">
        <f t="shared" si="8"/>
        <v/>
      </c>
      <c r="R40" s="13" t="str">
        <f t="shared" si="9"/>
        <v/>
      </c>
    </row>
    <row r="41" spans="1:19" x14ac:dyDescent="0.3">
      <c r="A41" s="14"/>
      <c r="B41" s="14"/>
      <c r="C41" s="14"/>
      <c r="D41" s="14"/>
      <c r="E41" s="14"/>
      <c r="F41" s="14"/>
      <c r="G41" s="5" t="str">
        <f t="shared" si="0"/>
        <v/>
      </c>
      <c r="I41" t="str">
        <f t="shared" si="4"/>
        <v/>
      </c>
      <c r="K41" t="str">
        <f t="shared" si="5"/>
        <v/>
      </c>
      <c r="L41" t="str">
        <f t="shared" si="1"/>
        <v/>
      </c>
      <c r="M41" t="str">
        <f t="shared" si="2"/>
        <v/>
      </c>
      <c r="N41" t="str">
        <f t="shared" si="6"/>
        <v/>
      </c>
      <c r="O41" t="str">
        <f t="shared" si="3"/>
        <v/>
      </c>
      <c r="P41" t="str">
        <f t="shared" si="7"/>
        <v/>
      </c>
      <c r="Q41" t="str">
        <f t="shared" si="8"/>
        <v/>
      </c>
      <c r="R41" s="13" t="str">
        <f t="shared" si="9"/>
        <v/>
      </c>
    </row>
    <row r="42" spans="1:19" ht="15" thickBot="1" x14ac:dyDescent="0.35">
      <c r="A42" s="14"/>
      <c r="B42" s="14"/>
      <c r="C42" s="14"/>
      <c r="D42" s="14"/>
      <c r="E42" s="14"/>
      <c r="F42" s="14"/>
      <c r="G42" s="7" t="str">
        <f t="shared" si="0"/>
        <v/>
      </c>
      <c r="H42" s="8"/>
      <c r="I42" s="8" t="str">
        <f t="shared" si="4"/>
        <v/>
      </c>
      <c r="J42" s="8"/>
      <c r="K42" t="str">
        <f t="shared" si="5"/>
        <v/>
      </c>
      <c r="L42" s="8" t="str">
        <f t="shared" si="1"/>
        <v/>
      </c>
      <c r="M42" s="8" t="str">
        <f t="shared" si="2"/>
        <v/>
      </c>
      <c r="N42" s="8" t="str">
        <f t="shared" si="6"/>
        <v/>
      </c>
      <c r="O42" s="8" t="str">
        <f t="shared" si="3"/>
        <v/>
      </c>
      <c r="P42" s="8" t="str">
        <f t="shared" si="7"/>
        <v/>
      </c>
      <c r="Q42" s="8" t="str">
        <f t="shared" si="8"/>
        <v/>
      </c>
      <c r="R42" s="17" t="str">
        <f t="shared" si="9"/>
        <v/>
      </c>
    </row>
    <row r="43" spans="1:19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</row>
    <row r="44" spans="1:19" x14ac:dyDescent="0.3">
      <c r="F44" s="14"/>
    </row>
    <row r="45" spans="1:19" x14ac:dyDescent="0.3">
      <c r="F45" s="14"/>
    </row>
    <row r="46" spans="1:19" x14ac:dyDescent="0.3">
      <c r="F46" s="14"/>
    </row>
    <row r="47" spans="1:19" x14ac:dyDescent="0.3">
      <c r="F47" s="14"/>
    </row>
    <row r="48" spans="1:19" x14ac:dyDescent="0.3">
      <c r="F48" s="14"/>
    </row>
    <row r="49" spans="6:6" x14ac:dyDescent="0.3">
      <c r="F49" s="14"/>
    </row>
    <row r="50" spans="6:6" x14ac:dyDescent="0.3">
      <c r="F50" s="14"/>
    </row>
    <row r="51" spans="6:6" x14ac:dyDescent="0.3">
      <c r="F51" s="14"/>
    </row>
    <row r="52" spans="6:6" x14ac:dyDescent="0.3">
      <c r="F52" s="14"/>
    </row>
    <row r="53" spans="6:6" x14ac:dyDescent="0.3">
      <c r="F53" s="14"/>
    </row>
    <row r="54" spans="6:6" x14ac:dyDescent="0.3">
      <c r="F54" s="14"/>
    </row>
    <row r="55" spans="6:6" x14ac:dyDescent="0.3">
      <c r="F55" s="14"/>
    </row>
    <row r="56" spans="6:6" x14ac:dyDescent="0.3">
      <c r="F56" s="14"/>
    </row>
    <row r="57" spans="6:6" x14ac:dyDescent="0.3">
      <c r="F57" s="14"/>
    </row>
    <row r="58" spans="6:6" x14ac:dyDescent="0.3">
      <c r="F58" s="14"/>
    </row>
    <row r="59" spans="6:6" x14ac:dyDescent="0.3">
      <c r="F59" s="14"/>
    </row>
    <row r="60" spans="6:6" x14ac:dyDescent="0.3">
      <c r="F60" s="14"/>
    </row>
    <row r="61" spans="6:6" x14ac:dyDescent="0.3">
      <c r="F61" s="14"/>
    </row>
    <row r="62" spans="6:6" x14ac:dyDescent="0.3">
      <c r="F62" s="14"/>
    </row>
    <row r="63" spans="6:6" x14ac:dyDescent="0.3">
      <c r="F63" s="14"/>
    </row>
    <row r="64" spans="6:6" x14ac:dyDescent="0.3">
      <c r="F64" s="14"/>
    </row>
    <row r="65" spans="6:6" x14ac:dyDescent="0.3">
      <c r="F65" s="14"/>
    </row>
    <row r="66" spans="6:6" x14ac:dyDescent="0.3">
      <c r="F66" s="14"/>
    </row>
    <row r="67" spans="6:6" x14ac:dyDescent="0.3">
      <c r="F67" s="14"/>
    </row>
    <row r="68" spans="6:6" x14ac:dyDescent="0.3">
      <c r="F68" s="14"/>
    </row>
    <row r="69" spans="6:6" x14ac:dyDescent="0.3">
      <c r="F69" s="14"/>
    </row>
    <row r="70" spans="6:6" x14ac:dyDescent="0.3">
      <c r="F70" s="14"/>
    </row>
    <row r="71" spans="6:6" x14ac:dyDescent="0.3">
      <c r="F71" s="14"/>
    </row>
    <row r="72" spans="6:6" x14ac:dyDescent="0.3">
      <c r="F72" s="14"/>
    </row>
    <row r="73" spans="6:6" x14ac:dyDescent="0.3">
      <c r="F73" s="14"/>
    </row>
    <row r="74" spans="6:6" x14ac:dyDescent="0.3">
      <c r="F74" s="14"/>
    </row>
    <row r="75" spans="6:6" x14ac:dyDescent="0.3">
      <c r="F75" s="14"/>
    </row>
    <row r="76" spans="6:6" x14ac:dyDescent="0.3">
      <c r="F76" s="14"/>
    </row>
    <row r="77" spans="6:6" x14ac:dyDescent="0.3">
      <c r="F77" s="14"/>
    </row>
    <row r="78" spans="6:6" x14ac:dyDescent="0.3">
      <c r="F78" s="14"/>
    </row>
    <row r="79" spans="6:6" x14ac:dyDescent="0.3">
      <c r="F79" s="14"/>
    </row>
    <row r="80" spans="6:6" x14ac:dyDescent="0.3">
      <c r="F80" s="14"/>
    </row>
    <row r="81" spans="6:6" x14ac:dyDescent="0.3">
      <c r="F81" s="14"/>
    </row>
    <row r="82" spans="6:6" x14ac:dyDescent="0.3">
      <c r="F82" s="14"/>
    </row>
    <row r="83" spans="6:6" x14ac:dyDescent="0.3">
      <c r="F83" s="14"/>
    </row>
    <row r="84" spans="6:6" x14ac:dyDescent="0.3">
      <c r="F84" s="14"/>
    </row>
    <row r="85" spans="6:6" x14ac:dyDescent="0.3">
      <c r="F85" s="14"/>
    </row>
    <row r="86" spans="6:6" x14ac:dyDescent="0.3">
      <c r="F86" s="14"/>
    </row>
    <row r="87" spans="6:6" x14ac:dyDescent="0.3">
      <c r="F87" s="14"/>
    </row>
    <row r="88" spans="6:6" x14ac:dyDescent="0.3">
      <c r="F88" s="14"/>
    </row>
    <row r="89" spans="6:6" x14ac:dyDescent="0.3">
      <c r="F89" s="14"/>
    </row>
    <row r="90" spans="6:6" x14ac:dyDescent="0.3">
      <c r="F90" s="14"/>
    </row>
    <row r="91" spans="6:6" x14ac:dyDescent="0.3">
      <c r="F91" s="14"/>
    </row>
    <row r="92" spans="6:6" x14ac:dyDescent="0.3">
      <c r="F92" s="14"/>
    </row>
    <row r="93" spans="6:6" x14ac:dyDescent="0.3">
      <c r="F93" s="14"/>
    </row>
    <row r="94" spans="6:6" x14ac:dyDescent="0.3">
      <c r="F94" s="14"/>
    </row>
    <row r="95" spans="6:6" x14ac:dyDescent="0.3">
      <c r="F95" s="14"/>
    </row>
    <row r="96" spans="6:6" x14ac:dyDescent="0.3">
      <c r="F96" s="14"/>
    </row>
    <row r="97" spans="6:6" x14ac:dyDescent="0.3">
      <c r="F97" s="14"/>
    </row>
    <row r="98" spans="6:6" x14ac:dyDescent="0.3">
      <c r="F98" s="14"/>
    </row>
    <row r="99" spans="6:6" x14ac:dyDescent="0.3">
      <c r="F99" s="14"/>
    </row>
    <row r="100" spans="6:6" x14ac:dyDescent="0.3">
      <c r="F100" s="14"/>
    </row>
    <row r="101" spans="6:6" x14ac:dyDescent="0.3">
      <c r="F101" s="14"/>
    </row>
    <row r="102" spans="6:6" x14ac:dyDescent="0.3">
      <c r="F102" s="14"/>
    </row>
    <row r="103" spans="6:6" x14ac:dyDescent="0.3">
      <c r="F103" s="14"/>
    </row>
    <row r="104" spans="6:6" x14ac:dyDescent="0.3">
      <c r="F104" s="14"/>
    </row>
    <row r="105" spans="6:6" x14ac:dyDescent="0.3">
      <c r="F105" s="14"/>
    </row>
    <row r="106" spans="6:6" x14ac:dyDescent="0.3">
      <c r="F106" s="14"/>
    </row>
    <row r="107" spans="6:6" x14ac:dyDescent="0.3">
      <c r="F107" s="14"/>
    </row>
    <row r="108" spans="6:6" x14ac:dyDescent="0.3">
      <c r="F108" s="14"/>
    </row>
    <row r="109" spans="6:6" x14ac:dyDescent="0.3">
      <c r="F109" s="14"/>
    </row>
    <row r="110" spans="6:6" x14ac:dyDescent="0.3">
      <c r="F110" s="14"/>
    </row>
    <row r="111" spans="6:6" x14ac:dyDescent="0.3">
      <c r="F111" s="14"/>
    </row>
    <row r="112" spans="6:6" x14ac:dyDescent="0.3">
      <c r="F112" s="14"/>
    </row>
    <row r="113" spans="6:6" x14ac:dyDescent="0.3">
      <c r="F113" s="14"/>
    </row>
    <row r="114" spans="6:6" x14ac:dyDescent="0.3">
      <c r="F114" s="14"/>
    </row>
    <row r="115" spans="6:6" x14ac:dyDescent="0.3">
      <c r="F115" s="14"/>
    </row>
    <row r="116" spans="6:6" x14ac:dyDescent="0.3">
      <c r="F116" s="14"/>
    </row>
    <row r="117" spans="6:6" x14ac:dyDescent="0.3">
      <c r="F117" s="14"/>
    </row>
    <row r="118" spans="6:6" x14ac:dyDescent="0.3">
      <c r="F118" s="14"/>
    </row>
    <row r="119" spans="6:6" x14ac:dyDescent="0.3">
      <c r="F119" s="14"/>
    </row>
    <row r="120" spans="6:6" x14ac:dyDescent="0.3">
      <c r="F120" s="14"/>
    </row>
    <row r="121" spans="6:6" x14ac:dyDescent="0.3">
      <c r="F121" s="14"/>
    </row>
    <row r="122" spans="6:6" x14ac:dyDescent="0.3">
      <c r="F122" s="14"/>
    </row>
    <row r="123" spans="6:6" x14ac:dyDescent="0.3">
      <c r="F123" s="14"/>
    </row>
    <row r="124" spans="6:6" x14ac:dyDescent="0.3">
      <c r="F124" s="14"/>
    </row>
    <row r="125" spans="6:6" x14ac:dyDescent="0.3">
      <c r="F125" s="14"/>
    </row>
    <row r="126" spans="6:6" x14ac:dyDescent="0.3">
      <c r="F126" s="14"/>
    </row>
    <row r="127" spans="6:6" x14ac:dyDescent="0.3">
      <c r="F127" s="14"/>
    </row>
    <row r="128" spans="6:6" x14ac:dyDescent="0.3">
      <c r="F128" s="14"/>
    </row>
    <row r="129" spans="6:6" x14ac:dyDescent="0.3">
      <c r="F129" s="14"/>
    </row>
    <row r="130" spans="6:6" x14ac:dyDescent="0.3">
      <c r="F130" s="14"/>
    </row>
    <row r="131" spans="6:6" x14ac:dyDescent="0.3">
      <c r="F131" s="14"/>
    </row>
    <row r="132" spans="6:6" x14ac:dyDescent="0.3">
      <c r="F132" s="14"/>
    </row>
    <row r="133" spans="6:6" x14ac:dyDescent="0.3">
      <c r="F133" s="14"/>
    </row>
    <row r="134" spans="6:6" x14ac:dyDescent="0.3">
      <c r="F134" s="14"/>
    </row>
    <row r="135" spans="6:6" x14ac:dyDescent="0.3">
      <c r="F135" s="14"/>
    </row>
    <row r="136" spans="6:6" x14ac:dyDescent="0.3">
      <c r="F136" s="14"/>
    </row>
    <row r="137" spans="6:6" x14ac:dyDescent="0.3">
      <c r="F137" s="14"/>
    </row>
    <row r="138" spans="6:6" x14ac:dyDescent="0.3">
      <c r="F138" s="14"/>
    </row>
    <row r="139" spans="6:6" x14ac:dyDescent="0.3">
      <c r="F139" s="14"/>
    </row>
    <row r="140" spans="6:6" x14ac:dyDescent="0.3">
      <c r="F140" s="14"/>
    </row>
    <row r="141" spans="6:6" x14ac:dyDescent="0.3">
      <c r="F141" s="14"/>
    </row>
    <row r="142" spans="6:6" x14ac:dyDescent="0.3">
      <c r="F142" s="14"/>
    </row>
    <row r="143" spans="6:6" x14ac:dyDescent="0.3">
      <c r="F143" s="14"/>
    </row>
    <row r="144" spans="6:6" x14ac:dyDescent="0.3">
      <c r="F144" s="14"/>
    </row>
    <row r="145" spans="6:6" x14ac:dyDescent="0.3">
      <c r="F145" s="14"/>
    </row>
    <row r="146" spans="6:6" x14ac:dyDescent="0.3">
      <c r="F146" s="14"/>
    </row>
    <row r="147" spans="6:6" x14ac:dyDescent="0.3">
      <c r="F147" s="14"/>
    </row>
    <row r="148" spans="6:6" x14ac:dyDescent="0.3">
      <c r="F148" s="14"/>
    </row>
    <row r="149" spans="6:6" x14ac:dyDescent="0.3">
      <c r="F149" s="14"/>
    </row>
    <row r="150" spans="6:6" x14ac:dyDescent="0.3">
      <c r="F150" s="14"/>
    </row>
    <row r="151" spans="6:6" x14ac:dyDescent="0.3">
      <c r="F151" s="14"/>
    </row>
    <row r="152" spans="6:6" x14ac:dyDescent="0.3">
      <c r="F152" s="14"/>
    </row>
    <row r="153" spans="6:6" x14ac:dyDescent="0.3">
      <c r="F153" s="14"/>
    </row>
    <row r="154" spans="6:6" x14ac:dyDescent="0.3">
      <c r="F154" s="14"/>
    </row>
    <row r="155" spans="6:6" x14ac:dyDescent="0.3">
      <c r="F155" s="14"/>
    </row>
    <row r="156" spans="6:6" x14ac:dyDescent="0.3">
      <c r="F156" s="14"/>
    </row>
    <row r="157" spans="6:6" x14ac:dyDescent="0.3">
      <c r="F157" s="14"/>
    </row>
    <row r="158" spans="6:6" x14ac:dyDescent="0.3">
      <c r="F158" s="14"/>
    </row>
    <row r="159" spans="6:6" x14ac:dyDescent="0.3">
      <c r="F159" s="14"/>
    </row>
    <row r="160" spans="6:6" x14ac:dyDescent="0.3">
      <c r="F160" s="14"/>
    </row>
    <row r="161" spans="6:6" x14ac:dyDescent="0.3">
      <c r="F161" s="14"/>
    </row>
    <row r="162" spans="6:6" x14ac:dyDescent="0.3">
      <c r="F162" s="14"/>
    </row>
    <row r="163" spans="6:6" x14ac:dyDescent="0.3">
      <c r="F163" s="14"/>
    </row>
    <row r="164" spans="6:6" x14ac:dyDescent="0.3">
      <c r="F164" s="14"/>
    </row>
    <row r="165" spans="6:6" x14ac:dyDescent="0.3">
      <c r="F165" s="14"/>
    </row>
    <row r="166" spans="6:6" x14ac:dyDescent="0.3">
      <c r="F166" s="14"/>
    </row>
    <row r="167" spans="6:6" x14ac:dyDescent="0.3">
      <c r="F167" s="14"/>
    </row>
    <row r="168" spans="6:6" x14ac:dyDescent="0.3">
      <c r="F168" s="14"/>
    </row>
    <row r="169" spans="6:6" x14ac:dyDescent="0.3">
      <c r="F169" s="14"/>
    </row>
    <row r="170" spans="6:6" x14ac:dyDescent="0.3">
      <c r="F170" s="14"/>
    </row>
    <row r="171" spans="6:6" x14ac:dyDescent="0.3">
      <c r="F171" s="14"/>
    </row>
    <row r="172" spans="6:6" x14ac:dyDescent="0.3">
      <c r="F172" s="14"/>
    </row>
    <row r="173" spans="6:6" x14ac:dyDescent="0.3">
      <c r="F173" s="14"/>
    </row>
    <row r="174" spans="6:6" x14ac:dyDescent="0.3">
      <c r="F174" s="14"/>
    </row>
    <row r="175" spans="6:6" x14ac:dyDescent="0.3">
      <c r="F175" s="14"/>
    </row>
    <row r="176" spans="6:6" x14ac:dyDescent="0.3">
      <c r="F176" s="14"/>
    </row>
    <row r="177" spans="6:6" x14ac:dyDescent="0.3">
      <c r="F177" s="14"/>
    </row>
    <row r="178" spans="6:6" x14ac:dyDescent="0.3">
      <c r="F178" s="14"/>
    </row>
    <row r="179" spans="6:6" x14ac:dyDescent="0.3">
      <c r="F179" s="14"/>
    </row>
    <row r="180" spans="6:6" x14ac:dyDescent="0.3">
      <c r="F180" s="14"/>
    </row>
    <row r="181" spans="6:6" x14ac:dyDescent="0.3">
      <c r="F181" s="14"/>
    </row>
    <row r="182" spans="6:6" x14ac:dyDescent="0.3">
      <c r="F182" s="14"/>
    </row>
    <row r="183" spans="6:6" x14ac:dyDescent="0.3">
      <c r="F183" s="14"/>
    </row>
    <row r="184" spans="6:6" x14ac:dyDescent="0.3">
      <c r="F184" s="14"/>
    </row>
    <row r="185" spans="6:6" x14ac:dyDescent="0.3">
      <c r="F185" s="14"/>
    </row>
    <row r="186" spans="6:6" x14ac:dyDescent="0.3">
      <c r="F186" s="14"/>
    </row>
    <row r="187" spans="6:6" x14ac:dyDescent="0.3">
      <c r="F187" s="14"/>
    </row>
    <row r="188" spans="6:6" x14ac:dyDescent="0.3">
      <c r="F188" s="14"/>
    </row>
    <row r="189" spans="6:6" x14ac:dyDescent="0.3">
      <c r="F189" s="14"/>
    </row>
    <row r="190" spans="6:6" x14ac:dyDescent="0.3">
      <c r="F190" s="14"/>
    </row>
    <row r="191" spans="6:6" x14ac:dyDescent="0.3">
      <c r="F191" s="14"/>
    </row>
    <row r="192" spans="6:6" x14ac:dyDescent="0.3">
      <c r="F192" s="14"/>
    </row>
    <row r="193" spans="6:6" x14ac:dyDescent="0.3">
      <c r="F193" s="14"/>
    </row>
    <row r="194" spans="6:6" x14ac:dyDescent="0.3">
      <c r="F194" s="14"/>
    </row>
    <row r="195" spans="6:6" x14ac:dyDescent="0.3">
      <c r="F195" s="14"/>
    </row>
    <row r="196" spans="6:6" x14ac:dyDescent="0.3">
      <c r="F196" s="14"/>
    </row>
    <row r="197" spans="6:6" x14ac:dyDescent="0.3">
      <c r="F197" s="14"/>
    </row>
    <row r="198" spans="6:6" x14ac:dyDescent="0.3">
      <c r="F198" s="14"/>
    </row>
    <row r="199" spans="6:6" x14ac:dyDescent="0.3">
      <c r="F199" s="14"/>
    </row>
    <row r="200" spans="6:6" x14ac:dyDescent="0.3">
      <c r="F200" s="14"/>
    </row>
    <row r="201" spans="6:6" x14ac:dyDescent="0.3">
      <c r="F201" s="14"/>
    </row>
    <row r="202" spans="6:6" x14ac:dyDescent="0.3">
      <c r="F202" s="14"/>
    </row>
    <row r="203" spans="6:6" x14ac:dyDescent="0.3">
      <c r="F203" s="14"/>
    </row>
    <row r="204" spans="6:6" x14ac:dyDescent="0.3">
      <c r="F204" s="14"/>
    </row>
    <row r="205" spans="6:6" x14ac:dyDescent="0.3">
      <c r="F205" s="14"/>
    </row>
    <row r="206" spans="6:6" x14ac:dyDescent="0.3">
      <c r="F206" s="14"/>
    </row>
    <row r="207" spans="6:6" x14ac:dyDescent="0.3">
      <c r="F207" s="14"/>
    </row>
    <row r="208" spans="6:6" x14ac:dyDescent="0.3">
      <c r="F208" s="14"/>
    </row>
    <row r="209" spans="6:6" x14ac:dyDescent="0.3">
      <c r="F209" s="14"/>
    </row>
    <row r="210" spans="6:6" x14ac:dyDescent="0.3">
      <c r="F210" s="14"/>
    </row>
    <row r="211" spans="6:6" x14ac:dyDescent="0.3">
      <c r="F211" s="14"/>
    </row>
    <row r="212" spans="6:6" x14ac:dyDescent="0.3">
      <c r="F212" s="14"/>
    </row>
    <row r="213" spans="6:6" x14ac:dyDescent="0.3">
      <c r="F213" s="14"/>
    </row>
    <row r="214" spans="6:6" x14ac:dyDescent="0.3">
      <c r="F214" s="14"/>
    </row>
    <row r="215" spans="6:6" x14ac:dyDescent="0.3">
      <c r="F215" s="14"/>
    </row>
    <row r="216" spans="6:6" x14ac:dyDescent="0.3">
      <c r="F216" s="14"/>
    </row>
    <row r="217" spans="6:6" x14ac:dyDescent="0.3">
      <c r="F217" s="14"/>
    </row>
    <row r="218" spans="6:6" x14ac:dyDescent="0.3">
      <c r="F218" s="14"/>
    </row>
    <row r="219" spans="6:6" x14ac:dyDescent="0.3">
      <c r="F219" s="14"/>
    </row>
    <row r="220" spans="6:6" x14ac:dyDescent="0.3">
      <c r="F220" s="14"/>
    </row>
    <row r="221" spans="6:6" x14ac:dyDescent="0.3">
      <c r="F221" s="14"/>
    </row>
    <row r="222" spans="6:6" x14ac:dyDescent="0.3">
      <c r="F222" s="14"/>
    </row>
    <row r="223" spans="6:6" x14ac:dyDescent="0.3">
      <c r="F223" s="14"/>
    </row>
    <row r="224" spans="6:6" x14ac:dyDescent="0.3">
      <c r="F224" s="14"/>
    </row>
    <row r="225" spans="6:6" x14ac:dyDescent="0.3">
      <c r="F225" s="14"/>
    </row>
    <row r="226" spans="6:6" x14ac:dyDescent="0.3">
      <c r="F226" s="14"/>
    </row>
    <row r="227" spans="6:6" x14ac:dyDescent="0.3">
      <c r="F227" s="14"/>
    </row>
    <row r="228" spans="6:6" x14ac:dyDescent="0.3">
      <c r="F228" s="14"/>
    </row>
    <row r="229" spans="6:6" x14ac:dyDescent="0.3">
      <c r="F229" s="14"/>
    </row>
    <row r="230" spans="6:6" x14ac:dyDescent="0.3">
      <c r="F230" s="14"/>
    </row>
    <row r="231" spans="6:6" x14ac:dyDescent="0.3">
      <c r="F231" s="14"/>
    </row>
    <row r="232" spans="6:6" x14ac:dyDescent="0.3">
      <c r="F232" s="14"/>
    </row>
    <row r="233" spans="6:6" x14ac:dyDescent="0.3">
      <c r="F233" s="14"/>
    </row>
    <row r="234" spans="6:6" x14ac:dyDescent="0.3">
      <c r="F234" s="14"/>
    </row>
    <row r="235" spans="6:6" x14ac:dyDescent="0.3">
      <c r="F235" s="14"/>
    </row>
    <row r="236" spans="6:6" x14ac:dyDescent="0.3">
      <c r="F236" s="14"/>
    </row>
    <row r="237" spans="6:6" x14ac:dyDescent="0.3">
      <c r="F237" s="14"/>
    </row>
    <row r="238" spans="6:6" x14ac:dyDescent="0.3">
      <c r="F238" s="14"/>
    </row>
    <row r="239" spans="6:6" x14ac:dyDescent="0.3">
      <c r="F239" s="14"/>
    </row>
    <row r="240" spans="6:6" x14ac:dyDescent="0.3">
      <c r="F240" s="14"/>
    </row>
    <row r="241" spans="6:6" x14ac:dyDescent="0.3">
      <c r="F241" s="14"/>
    </row>
    <row r="242" spans="6:6" x14ac:dyDescent="0.3">
      <c r="F242" s="14"/>
    </row>
    <row r="243" spans="6:6" x14ac:dyDescent="0.3">
      <c r="F243" s="14"/>
    </row>
    <row r="244" spans="6:6" x14ac:dyDescent="0.3">
      <c r="F244" s="14"/>
    </row>
    <row r="245" spans="6:6" x14ac:dyDescent="0.3">
      <c r="F245" s="14"/>
    </row>
    <row r="246" spans="6:6" x14ac:dyDescent="0.3">
      <c r="F246" s="14"/>
    </row>
    <row r="247" spans="6:6" x14ac:dyDescent="0.3">
      <c r="F247" s="14"/>
    </row>
    <row r="248" spans="6:6" x14ac:dyDescent="0.3">
      <c r="F248" s="14"/>
    </row>
    <row r="249" spans="6:6" x14ac:dyDescent="0.3">
      <c r="F249" s="14"/>
    </row>
    <row r="250" spans="6:6" x14ac:dyDescent="0.3">
      <c r="F250" s="14"/>
    </row>
    <row r="251" spans="6:6" x14ac:dyDescent="0.3">
      <c r="F251" s="14"/>
    </row>
    <row r="252" spans="6:6" x14ac:dyDescent="0.3">
      <c r="F252" s="14"/>
    </row>
    <row r="253" spans="6:6" x14ac:dyDescent="0.3">
      <c r="F253" s="14"/>
    </row>
    <row r="254" spans="6:6" x14ac:dyDescent="0.3">
      <c r="F254" s="14"/>
    </row>
    <row r="255" spans="6:6" x14ac:dyDescent="0.3">
      <c r="F255" s="14"/>
    </row>
    <row r="256" spans="6:6" x14ac:dyDescent="0.3">
      <c r="F256" s="14"/>
    </row>
    <row r="257" spans="6:6" x14ac:dyDescent="0.3">
      <c r="F257" s="14"/>
    </row>
    <row r="258" spans="6:6" x14ac:dyDescent="0.3">
      <c r="F258" s="14"/>
    </row>
    <row r="259" spans="6:6" x14ac:dyDescent="0.3">
      <c r="F259" s="14"/>
    </row>
    <row r="260" spans="6:6" x14ac:dyDescent="0.3">
      <c r="F260" s="14"/>
    </row>
    <row r="261" spans="6:6" x14ac:dyDescent="0.3">
      <c r="F261" s="14"/>
    </row>
    <row r="262" spans="6:6" x14ac:dyDescent="0.3">
      <c r="F262" s="14"/>
    </row>
    <row r="263" spans="6:6" x14ac:dyDescent="0.3">
      <c r="F263" s="14"/>
    </row>
    <row r="264" spans="6:6" x14ac:dyDescent="0.3">
      <c r="F264" s="14"/>
    </row>
    <row r="265" spans="6:6" x14ac:dyDescent="0.3">
      <c r="F265" s="14"/>
    </row>
    <row r="266" spans="6:6" x14ac:dyDescent="0.3">
      <c r="F266" s="14"/>
    </row>
    <row r="267" spans="6:6" x14ac:dyDescent="0.3">
      <c r="F267" s="14"/>
    </row>
    <row r="268" spans="6:6" x14ac:dyDescent="0.3">
      <c r="F268" s="14"/>
    </row>
    <row r="269" spans="6:6" x14ac:dyDescent="0.3">
      <c r="F269" s="14"/>
    </row>
    <row r="270" spans="6:6" x14ac:dyDescent="0.3">
      <c r="F270" s="14"/>
    </row>
    <row r="271" spans="6:6" x14ac:dyDescent="0.3">
      <c r="F271" s="14"/>
    </row>
    <row r="272" spans="6:6" x14ac:dyDescent="0.3">
      <c r="F272" s="14"/>
    </row>
    <row r="273" spans="6:6" x14ac:dyDescent="0.3">
      <c r="F273" s="14"/>
    </row>
    <row r="274" spans="6:6" x14ac:dyDescent="0.3">
      <c r="F274" s="14"/>
    </row>
    <row r="275" spans="6:6" x14ac:dyDescent="0.3">
      <c r="F275" s="14"/>
    </row>
    <row r="276" spans="6:6" x14ac:dyDescent="0.3">
      <c r="F276" s="14"/>
    </row>
    <row r="277" spans="6:6" x14ac:dyDescent="0.3">
      <c r="F277" s="14"/>
    </row>
    <row r="278" spans="6:6" x14ac:dyDescent="0.3">
      <c r="F278" s="14"/>
    </row>
    <row r="279" spans="6:6" x14ac:dyDescent="0.3">
      <c r="F279" s="14"/>
    </row>
    <row r="280" spans="6:6" x14ac:dyDescent="0.3">
      <c r="F280" s="14"/>
    </row>
    <row r="281" spans="6:6" x14ac:dyDescent="0.3">
      <c r="F281" s="14"/>
    </row>
    <row r="282" spans="6:6" x14ac:dyDescent="0.3">
      <c r="F282" s="14"/>
    </row>
    <row r="283" spans="6:6" x14ac:dyDescent="0.3">
      <c r="F283" s="14"/>
    </row>
    <row r="284" spans="6:6" x14ac:dyDescent="0.3">
      <c r="F284" s="14"/>
    </row>
    <row r="285" spans="6:6" x14ac:dyDescent="0.3">
      <c r="F285" s="14"/>
    </row>
    <row r="286" spans="6:6" x14ac:dyDescent="0.3">
      <c r="F286" s="14"/>
    </row>
    <row r="287" spans="6:6" x14ac:dyDescent="0.3">
      <c r="F287" s="14"/>
    </row>
    <row r="288" spans="6:6" x14ac:dyDescent="0.3">
      <c r="F288" s="14"/>
    </row>
    <row r="289" spans="6:6" x14ac:dyDescent="0.3">
      <c r="F289" s="14"/>
    </row>
    <row r="290" spans="6:6" x14ac:dyDescent="0.3">
      <c r="F290" s="14"/>
    </row>
    <row r="291" spans="6:6" x14ac:dyDescent="0.3">
      <c r="F291" s="14"/>
    </row>
    <row r="292" spans="6:6" x14ac:dyDescent="0.3">
      <c r="F292" s="14"/>
    </row>
    <row r="293" spans="6:6" x14ac:dyDescent="0.3">
      <c r="F293" s="14"/>
    </row>
    <row r="294" spans="6:6" x14ac:dyDescent="0.3">
      <c r="F294" s="14"/>
    </row>
    <row r="295" spans="6:6" x14ac:dyDescent="0.3">
      <c r="F295" s="14"/>
    </row>
    <row r="296" spans="6:6" x14ac:dyDescent="0.3">
      <c r="F296" s="14"/>
    </row>
    <row r="297" spans="6:6" x14ac:dyDescent="0.3">
      <c r="F297" s="14"/>
    </row>
    <row r="298" spans="6:6" x14ac:dyDescent="0.3">
      <c r="F298" s="14"/>
    </row>
    <row r="299" spans="6:6" x14ac:dyDescent="0.3">
      <c r="F299" s="14"/>
    </row>
    <row r="300" spans="6:6" x14ac:dyDescent="0.3">
      <c r="F300" s="14"/>
    </row>
    <row r="301" spans="6:6" x14ac:dyDescent="0.3">
      <c r="F301" s="14"/>
    </row>
    <row r="302" spans="6:6" x14ac:dyDescent="0.3">
      <c r="F302" s="14"/>
    </row>
    <row r="303" spans="6:6" x14ac:dyDescent="0.3">
      <c r="F303" s="14"/>
    </row>
    <row r="304" spans="6:6" x14ac:dyDescent="0.3">
      <c r="F304" s="14"/>
    </row>
    <row r="305" spans="6:6" x14ac:dyDescent="0.3">
      <c r="F305" s="14"/>
    </row>
    <row r="306" spans="6:6" x14ac:dyDescent="0.3">
      <c r="F306" s="14"/>
    </row>
    <row r="307" spans="6:6" x14ac:dyDescent="0.3">
      <c r="F307" s="14"/>
    </row>
    <row r="308" spans="6:6" x14ac:dyDescent="0.3">
      <c r="F308" s="14"/>
    </row>
    <row r="309" spans="6:6" x14ac:dyDescent="0.3">
      <c r="F309" s="14"/>
    </row>
    <row r="310" spans="6:6" x14ac:dyDescent="0.3">
      <c r="F310" s="14"/>
    </row>
    <row r="311" spans="6:6" x14ac:dyDescent="0.3">
      <c r="F311" s="14"/>
    </row>
    <row r="312" spans="6:6" x14ac:dyDescent="0.3">
      <c r="F312" s="14"/>
    </row>
    <row r="313" spans="6:6" x14ac:dyDescent="0.3">
      <c r="F313" s="14"/>
    </row>
    <row r="314" spans="6:6" x14ac:dyDescent="0.3">
      <c r="F314" s="14"/>
    </row>
    <row r="315" spans="6:6" x14ac:dyDescent="0.3">
      <c r="F315" s="14"/>
    </row>
    <row r="316" spans="6:6" x14ac:dyDescent="0.3">
      <c r="F316" s="14"/>
    </row>
    <row r="317" spans="6:6" x14ac:dyDescent="0.3">
      <c r="F317" s="14"/>
    </row>
    <row r="318" spans="6:6" x14ac:dyDescent="0.3">
      <c r="F318" s="14"/>
    </row>
    <row r="319" spans="6:6" x14ac:dyDescent="0.3">
      <c r="F319" s="14"/>
    </row>
    <row r="320" spans="6:6" x14ac:dyDescent="0.3">
      <c r="F320" s="14"/>
    </row>
    <row r="321" spans="6:6" x14ac:dyDescent="0.3">
      <c r="F321" s="14"/>
    </row>
    <row r="322" spans="6:6" x14ac:dyDescent="0.3">
      <c r="F322" s="14"/>
    </row>
    <row r="323" spans="6:6" x14ac:dyDescent="0.3">
      <c r="F323" s="14"/>
    </row>
    <row r="324" spans="6:6" x14ac:dyDescent="0.3">
      <c r="F324" s="14"/>
    </row>
    <row r="325" spans="6:6" x14ac:dyDescent="0.3">
      <c r="F325" s="14"/>
    </row>
    <row r="326" spans="6:6" x14ac:dyDescent="0.3">
      <c r="F326" s="14"/>
    </row>
    <row r="327" spans="6:6" x14ac:dyDescent="0.3">
      <c r="F327" s="14"/>
    </row>
    <row r="328" spans="6:6" x14ac:dyDescent="0.3">
      <c r="F328" s="14"/>
    </row>
    <row r="329" spans="6:6" x14ac:dyDescent="0.3">
      <c r="F329" s="14"/>
    </row>
    <row r="330" spans="6:6" x14ac:dyDescent="0.3">
      <c r="F330" s="14"/>
    </row>
    <row r="331" spans="6:6" x14ac:dyDescent="0.3">
      <c r="F331" s="14"/>
    </row>
    <row r="332" spans="6:6" x14ac:dyDescent="0.3">
      <c r="F332" s="14"/>
    </row>
    <row r="333" spans="6:6" x14ac:dyDescent="0.3">
      <c r="F333" s="14"/>
    </row>
    <row r="334" spans="6:6" x14ac:dyDescent="0.3">
      <c r="F334" s="14"/>
    </row>
    <row r="335" spans="6:6" x14ac:dyDescent="0.3">
      <c r="F335" s="14"/>
    </row>
    <row r="336" spans="6:6" x14ac:dyDescent="0.3">
      <c r="F336" s="14"/>
    </row>
    <row r="337" spans="6:6" x14ac:dyDescent="0.3">
      <c r="F337" s="14"/>
    </row>
    <row r="338" spans="6:6" x14ac:dyDescent="0.3">
      <c r="F338" s="14"/>
    </row>
    <row r="339" spans="6:6" x14ac:dyDescent="0.3">
      <c r="F339" s="14"/>
    </row>
    <row r="340" spans="6:6" x14ac:dyDescent="0.3">
      <c r="F340" s="14"/>
    </row>
    <row r="341" spans="6:6" x14ac:dyDescent="0.3">
      <c r="F341" s="14"/>
    </row>
    <row r="342" spans="6:6" x14ac:dyDescent="0.3">
      <c r="F342" s="14"/>
    </row>
    <row r="343" spans="6:6" x14ac:dyDescent="0.3">
      <c r="F343" s="14"/>
    </row>
    <row r="344" spans="6:6" x14ac:dyDescent="0.3">
      <c r="F344" s="14"/>
    </row>
    <row r="345" spans="6:6" x14ac:dyDescent="0.3">
      <c r="F345" s="14"/>
    </row>
    <row r="346" spans="6:6" x14ac:dyDescent="0.3">
      <c r="F346" s="14"/>
    </row>
    <row r="347" spans="6:6" x14ac:dyDescent="0.3">
      <c r="F347" s="14"/>
    </row>
    <row r="348" spans="6:6" x14ac:dyDescent="0.3">
      <c r="F348" s="14"/>
    </row>
    <row r="349" spans="6:6" x14ac:dyDescent="0.3">
      <c r="F349" s="14"/>
    </row>
    <row r="350" spans="6:6" x14ac:dyDescent="0.3">
      <c r="F350" s="14"/>
    </row>
    <row r="351" spans="6:6" x14ac:dyDescent="0.3">
      <c r="F351" s="14"/>
    </row>
    <row r="352" spans="6:6" x14ac:dyDescent="0.3">
      <c r="F352" s="14"/>
    </row>
    <row r="353" spans="6:6" x14ac:dyDescent="0.3">
      <c r="F353" s="14"/>
    </row>
    <row r="354" spans="6:6" x14ac:dyDescent="0.3">
      <c r="F354" s="14"/>
    </row>
    <row r="355" spans="6:6" x14ac:dyDescent="0.3">
      <c r="F355" s="14"/>
    </row>
    <row r="356" spans="6:6" x14ac:dyDescent="0.3">
      <c r="F356" s="14"/>
    </row>
    <row r="357" spans="6:6" x14ac:dyDescent="0.3">
      <c r="F357" s="14"/>
    </row>
    <row r="358" spans="6:6" x14ac:dyDescent="0.3">
      <c r="F358" s="14"/>
    </row>
    <row r="359" spans="6:6" x14ac:dyDescent="0.3">
      <c r="F359" s="14"/>
    </row>
    <row r="360" spans="6:6" x14ac:dyDescent="0.3">
      <c r="F360" s="14"/>
    </row>
    <row r="361" spans="6:6" x14ac:dyDescent="0.3">
      <c r="F361" s="14"/>
    </row>
    <row r="362" spans="6:6" x14ac:dyDescent="0.3">
      <c r="F362" s="14"/>
    </row>
    <row r="363" spans="6:6" x14ac:dyDescent="0.3">
      <c r="F363" s="14"/>
    </row>
    <row r="364" spans="6:6" x14ac:dyDescent="0.3">
      <c r="F364" s="14"/>
    </row>
    <row r="365" spans="6:6" x14ac:dyDescent="0.3">
      <c r="F365" s="14"/>
    </row>
    <row r="366" spans="6:6" x14ac:dyDescent="0.3">
      <c r="F366" s="14"/>
    </row>
    <row r="367" spans="6:6" x14ac:dyDescent="0.3">
      <c r="F367" s="14"/>
    </row>
    <row r="368" spans="6:6" x14ac:dyDescent="0.3">
      <c r="F368" s="14"/>
    </row>
    <row r="369" spans="6:6" x14ac:dyDescent="0.3">
      <c r="F369" s="14"/>
    </row>
    <row r="370" spans="6:6" x14ac:dyDescent="0.3">
      <c r="F370" s="14"/>
    </row>
    <row r="371" spans="6:6" x14ac:dyDescent="0.3">
      <c r="F371" s="14"/>
    </row>
    <row r="372" spans="6:6" x14ac:dyDescent="0.3">
      <c r="F372" s="14"/>
    </row>
    <row r="373" spans="6:6" x14ac:dyDescent="0.3">
      <c r="F373" s="14"/>
    </row>
    <row r="374" spans="6:6" x14ac:dyDescent="0.3">
      <c r="F374" s="14"/>
    </row>
    <row r="375" spans="6:6" x14ac:dyDescent="0.3">
      <c r="F375" s="14"/>
    </row>
    <row r="376" spans="6:6" x14ac:dyDescent="0.3">
      <c r="F376" s="14"/>
    </row>
    <row r="377" spans="6:6" x14ac:dyDescent="0.3">
      <c r="F377" s="14"/>
    </row>
    <row r="378" spans="6:6" x14ac:dyDescent="0.3">
      <c r="F378" s="14"/>
    </row>
    <row r="379" spans="6:6" x14ac:dyDescent="0.3">
      <c r="F379" s="14"/>
    </row>
    <row r="380" spans="6:6" x14ac:dyDescent="0.3">
      <c r="F380" s="14"/>
    </row>
    <row r="381" spans="6:6" x14ac:dyDescent="0.3">
      <c r="F381" s="14"/>
    </row>
    <row r="382" spans="6:6" x14ac:dyDescent="0.3">
      <c r="F382" s="14"/>
    </row>
    <row r="383" spans="6:6" x14ac:dyDescent="0.3">
      <c r="F383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DC53-D2F1-456C-807B-AE52A96684FE}">
  <sheetPr codeName="Sheet3"/>
  <dimension ref="B1:M42"/>
  <sheetViews>
    <sheetView workbookViewId="0">
      <selection activeCell="D17" sqref="D17"/>
    </sheetView>
  </sheetViews>
  <sheetFormatPr defaultColWidth="9" defaultRowHeight="14.4" x14ac:dyDescent="0.3"/>
  <cols>
    <col min="2" max="2" width="9.77734375" customWidth="1"/>
    <col min="3" max="3" width="13.44140625" customWidth="1"/>
    <col min="4" max="4" width="13.109375" customWidth="1"/>
    <col min="5" max="5" width="17.77734375" customWidth="1"/>
    <col min="8" max="8" width="15.33203125" customWidth="1"/>
    <col min="9" max="9" width="16.109375" customWidth="1"/>
    <col min="10" max="10" width="16.44140625" customWidth="1"/>
    <col min="11" max="11" width="14.44140625" customWidth="1"/>
    <col min="12" max="12" width="16" customWidth="1"/>
    <col min="13" max="13" width="15.77734375" customWidth="1"/>
    <col min="14" max="14" width="9.6640625" customWidth="1"/>
    <col min="15" max="15" width="10.44140625" customWidth="1"/>
    <col min="16" max="16" width="12.44140625" customWidth="1"/>
    <col min="17" max="17" width="10.109375" customWidth="1"/>
  </cols>
  <sheetData>
    <row r="1" spans="2:13" ht="15" thickBot="1" x14ac:dyDescent="0.35">
      <c r="M1" s="8"/>
    </row>
    <row r="2" spans="2:13" x14ac:dyDescent="0.3">
      <c r="B2" s="2"/>
      <c r="C2" s="3" t="s">
        <v>0</v>
      </c>
      <c r="D2" s="3" t="s">
        <v>1</v>
      </c>
      <c r="E2" s="4" t="s">
        <v>4</v>
      </c>
      <c r="G2" s="10" t="s">
        <v>5</v>
      </c>
      <c r="H2" s="11"/>
      <c r="I2" s="11"/>
      <c r="J2" s="11"/>
      <c r="K2" s="11"/>
      <c r="L2" s="11"/>
      <c r="M2" s="12"/>
    </row>
    <row r="3" spans="2:13" x14ac:dyDescent="0.3">
      <c r="B3" s="5" t="s">
        <v>2</v>
      </c>
      <c r="C3">
        <v>89</v>
      </c>
      <c r="D3">
        <v>1</v>
      </c>
      <c r="E3" s="6" t="str">
        <f>IF(C3+D3=90, "OK", "Erreur : Doit être 90")</f>
        <v>OK</v>
      </c>
      <c r="G3" s="5" t="s">
        <v>17</v>
      </c>
      <c r="H3" t="s">
        <v>12</v>
      </c>
      <c r="I3" t="s">
        <v>13</v>
      </c>
      <c r="J3" t="s">
        <v>14</v>
      </c>
      <c r="K3" t="s">
        <v>15</v>
      </c>
      <c r="L3" t="s">
        <v>16</v>
      </c>
      <c r="M3" s="13" t="s">
        <v>18</v>
      </c>
    </row>
    <row r="4" spans="2:13" ht="15" thickBot="1" x14ac:dyDescent="0.35">
      <c r="B4" s="7" t="s">
        <v>3</v>
      </c>
      <c r="C4" s="8">
        <v>89</v>
      </c>
      <c r="D4" s="8">
        <v>1</v>
      </c>
      <c r="E4" s="9" t="str">
        <f>IF(C4+D4=90, "OK", "Erreur : Doit être 90")</f>
        <v>OK</v>
      </c>
      <c r="G4" s="5">
        <f>IF(AND($E$3 = "OK", $E$4 = "OK"), 1, "")</f>
        <v>1</v>
      </c>
      <c r="H4">
        <f ca="1">IF(AND($E$3 = "OK", $E$4 = "OK"), (C3 * 0.7) + ($D$7 * 0.4), "")</f>
        <v>71.196459378728463</v>
      </c>
      <c r="I4">
        <f ca="1">IF(AND($E$3 = "OK", $E$4 = "OK"), (C4 * 0.7) + ($D$8 * 0.4), "")</f>
        <v>73.806565143400789</v>
      </c>
      <c r="J4" s="18" t="str">
        <f ca="1">IF(AND($E$3 = "OK", $E$4 = "OK"), IF(H4&gt;I4, "J1", "J2"), "")</f>
        <v>J2</v>
      </c>
      <c r="K4">
        <f ca="1">IF(AND($E$3 = "OK", $E$4 = "OK"), IF(H4&gt;I4, C3 + ( H4-I4), C3 - ( I4-H4)), "")</f>
        <v>86.389894235327674</v>
      </c>
      <c r="L4">
        <f ca="1">IF(AND(E3 = "OK", E4 = "OK"), IF(H4&lt;I4, C4 + ( I4-H4), C4 - ( H4-I4)), "")</f>
        <v>91.610105764672326</v>
      </c>
      <c r="M4" s="19" t="str">
        <f ca="1">IF(AND($E$3 = "OK", $E$4 = "OK"), IF(OR(K4&lt;=0, L4&lt;=0), "Arret", "Continuer"), "")</f>
        <v>Continuer</v>
      </c>
    </row>
    <row r="5" spans="2:13" x14ac:dyDescent="0.3">
      <c r="G5" s="5">
        <f ca="1">IF(M4 = "Continuer", G4+1, "")</f>
        <v>2</v>
      </c>
      <c r="H5">
        <f ca="1">IF(M4 = "Continuer", (K4 * 0.7) + ($D$7 * 0.4), "")</f>
        <v>69.36938534345785</v>
      </c>
      <c r="I5">
        <f ca="1">IF(M4 = "Continuer", (L4 * 0.7) + ($D$8 * 0.4), "")</f>
        <v>75.633639178671416</v>
      </c>
      <c r="J5" s="18" t="str">
        <f ca="1">IF(M4 = "Continuer", IF(H5&gt;I5, "J1", "J2"), "")</f>
        <v>J2</v>
      </c>
      <c r="K5">
        <f ca="1">IF(M4 = "Continuer", IF(H5&gt;I5, K4 + ( H5-I5), K4 - ( I5-H5)), "")</f>
        <v>80.125640400114108</v>
      </c>
      <c r="L5">
        <f ca="1">IF(M4 = "Continuer", IF(H5&lt;I5, L4 + ( I5-H5), L4 - ( H5-I5)), "")</f>
        <v>97.874359599885892</v>
      </c>
      <c r="M5" s="19" t="str">
        <f ca="1">IF(M4 = "Continuer", IF(OR(K5&lt;=0, L5&lt;=0), "Arret", "Continuer"), "")</f>
        <v>Continuer</v>
      </c>
    </row>
    <row r="6" spans="2:13" x14ac:dyDescent="0.3">
      <c r="C6" s="1" t="s">
        <v>6</v>
      </c>
      <c r="D6" s="1" t="s">
        <v>7</v>
      </c>
      <c r="G6" s="5">
        <f t="shared" ref="G6:G42" ca="1" si="0">IF(M5 = "Continuer", G5+1, "")</f>
        <v>3</v>
      </c>
      <c r="H6">
        <f t="shared" ref="H6:H42" ca="1" si="1">IF(M5 = "Continuer", (K5 * 0.7) + ($D$7 * 0.4), "")</f>
        <v>64.984407658808351</v>
      </c>
      <c r="I6">
        <f t="shared" ref="I6:I42" ca="1" si="2">IF(M5 = "Continuer", (L5 * 0.7) + ($D$8 * 0.4), "")</f>
        <v>80.018616863320915</v>
      </c>
      <c r="J6" s="18" t="str">
        <f t="shared" ref="J6:J42" ca="1" si="3">IF(M5 = "Continuer", IF(H6&gt;I6, "J1", "J2"), "")</f>
        <v>J2</v>
      </c>
      <c r="K6">
        <f t="shared" ref="K6:K42" ca="1" si="4">IF(M5 = "Continuer", IF(H6&gt;I6, K5 + ( H6-I6), K5 - ( I6-H6)), "")</f>
        <v>65.091431195601544</v>
      </c>
      <c r="L6">
        <f t="shared" ref="L6:L42" ca="1" si="5">IF(M5 = "Continuer", IF(H6&lt;I6, L5 + ( I6-H6), L5 - ( H6-I6)), "")</f>
        <v>112.90856880439846</v>
      </c>
      <c r="M6" s="19" t="str">
        <f t="shared" ref="M6:M42" ca="1" si="6">IF(M5 = "Continuer", IF(OR(K6&lt;=0, L6&lt;=0), "Arret", "Continuer"), "")</f>
        <v>Continuer</v>
      </c>
    </row>
    <row r="7" spans="2:13" x14ac:dyDescent="0.3">
      <c r="B7" t="s">
        <v>2</v>
      </c>
      <c r="C7">
        <f ca="1">IF(AND(E3 = "OK", E4 = "OK"), _xlfn.NORM.INV(RAND(), 40, 25), "")</f>
        <v>43.482296893642364</v>
      </c>
      <c r="D7">
        <f ca="1">IF(NOT(C7 = ""), (C7 + D3) / 2, "")</f>
        <v>22.241148446821182</v>
      </c>
      <c r="G7" s="5">
        <f t="shared" ca="1" si="0"/>
        <v>4</v>
      </c>
      <c r="H7">
        <f t="shared" ca="1" si="1"/>
        <v>54.460461215649552</v>
      </c>
      <c r="I7">
        <f t="shared" ca="1" si="2"/>
        <v>90.542563306479707</v>
      </c>
      <c r="J7" s="18" t="str">
        <f t="shared" ca="1" si="3"/>
        <v>J2</v>
      </c>
      <c r="K7">
        <f t="shared" ca="1" si="4"/>
        <v>29.009329104771389</v>
      </c>
      <c r="L7">
        <f t="shared" ca="1" si="5"/>
        <v>148.99067089522862</v>
      </c>
      <c r="M7" s="19" t="str">
        <f t="shared" ca="1" si="6"/>
        <v>Continuer</v>
      </c>
    </row>
    <row r="8" spans="2:13" x14ac:dyDescent="0.3">
      <c r="B8" t="s">
        <v>3</v>
      </c>
      <c r="C8">
        <f ca="1">IF(AND(E3 = "OK", E4 = "OK"), _xlfn.NORM.INV(RAND(), 40, 25), "")</f>
        <v>56.532825717003959</v>
      </c>
      <c r="D8">
        <f ca="1">IF(NOT(C8 = ""), (C8 + D4) / 2, "")</f>
        <v>28.76641285850198</v>
      </c>
      <c r="G8" s="5">
        <f t="shared" ca="1" si="0"/>
        <v>5</v>
      </c>
      <c r="H8">
        <f t="shared" ca="1" si="1"/>
        <v>29.202989752068444</v>
      </c>
      <c r="I8">
        <f t="shared" ca="1" si="2"/>
        <v>115.80003477006082</v>
      </c>
      <c r="J8" s="18" t="str">
        <f t="shared" ca="1" si="3"/>
        <v>J2</v>
      </c>
      <c r="K8">
        <f t="shared" ca="1" si="4"/>
        <v>-57.587715913220983</v>
      </c>
      <c r="L8">
        <f t="shared" ca="1" si="5"/>
        <v>235.58771591322099</v>
      </c>
      <c r="M8" s="19" t="str">
        <f t="shared" ca="1" si="6"/>
        <v>Arret</v>
      </c>
    </row>
    <row r="9" spans="2:13" x14ac:dyDescent="0.3">
      <c r="G9" s="5" t="str">
        <f t="shared" ca="1" si="0"/>
        <v/>
      </c>
      <c r="H9" t="str">
        <f t="shared" ca="1" si="1"/>
        <v/>
      </c>
      <c r="I9" t="str">
        <f t="shared" ca="1" si="2"/>
        <v/>
      </c>
      <c r="J9" s="18" t="str">
        <f t="shared" ca="1" si="3"/>
        <v/>
      </c>
      <c r="K9" t="str">
        <f t="shared" ca="1" si="4"/>
        <v/>
      </c>
      <c r="L9" t="str">
        <f t="shared" ca="1" si="5"/>
        <v/>
      </c>
      <c r="M9" s="19" t="str">
        <f t="shared" ca="1" si="6"/>
        <v/>
      </c>
    </row>
    <row r="10" spans="2:13" x14ac:dyDescent="0.3">
      <c r="G10" s="5" t="str">
        <f t="shared" ca="1" si="0"/>
        <v/>
      </c>
      <c r="H10" t="str">
        <f t="shared" ca="1" si="1"/>
        <v/>
      </c>
      <c r="I10" t="str">
        <f t="shared" ca="1" si="2"/>
        <v/>
      </c>
      <c r="J10" s="18" t="str">
        <f t="shared" ca="1" si="3"/>
        <v/>
      </c>
      <c r="K10" t="str">
        <f t="shared" ca="1" si="4"/>
        <v/>
      </c>
      <c r="L10" t="str">
        <f t="shared" ca="1" si="5"/>
        <v/>
      </c>
      <c r="M10" s="19" t="str">
        <f t="shared" ca="1" si="6"/>
        <v/>
      </c>
    </row>
    <row r="11" spans="2:13" x14ac:dyDescent="0.3">
      <c r="G11" s="5" t="str">
        <f t="shared" ca="1" si="0"/>
        <v/>
      </c>
      <c r="H11" t="str">
        <f t="shared" ca="1" si="1"/>
        <v/>
      </c>
      <c r="I11" t="str">
        <f t="shared" ca="1" si="2"/>
        <v/>
      </c>
      <c r="J11" s="18" t="str">
        <f t="shared" ca="1" si="3"/>
        <v/>
      </c>
      <c r="K11" t="str">
        <f t="shared" ca="1" si="4"/>
        <v/>
      </c>
      <c r="L11" t="str">
        <f t="shared" ca="1" si="5"/>
        <v/>
      </c>
      <c r="M11" s="19" t="str">
        <f t="shared" ca="1" si="6"/>
        <v/>
      </c>
    </row>
    <row r="12" spans="2:13" x14ac:dyDescent="0.3">
      <c r="G12" s="5" t="str">
        <f t="shared" ca="1" si="0"/>
        <v/>
      </c>
      <c r="H12" t="str">
        <f t="shared" ca="1" si="1"/>
        <v/>
      </c>
      <c r="I12" t="str">
        <f t="shared" ca="1" si="2"/>
        <v/>
      </c>
      <c r="J12" s="18" t="str">
        <f t="shared" ca="1" si="3"/>
        <v/>
      </c>
      <c r="K12" t="str">
        <f t="shared" ca="1" si="4"/>
        <v/>
      </c>
      <c r="L12" t="str">
        <f t="shared" ca="1" si="5"/>
        <v/>
      </c>
      <c r="M12" s="19" t="str">
        <f t="shared" ca="1" si="6"/>
        <v/>
      </c>
    </row>
    <row r="13" spans="2:13" x14ac:dyDescent="0.3">
      <c r="G13" s="5" t="str">
        <f t="shared" ca="1" si="0"/>
        <v/>
      </c>
      <c r="H13" t="str">
        <f t="shared" ca="1" si="1"/>
        <v/>
      </c>
      <c r="I13" t="str">
        <f t="shared" ca="1" si="2"/>
        <v/>
      </c>
      <c r="J13" s="18" t="str">
        <f t="shared" ca="1" si="3"/>
        <v/>
      </c>
      <c r="K13" t="str">
        <f t="shared" ca="1" si="4"/>
        <v/>
      </c>
      <c r="L13" t="str">
        <f t="shared" ca="1" si="5"/>
        <v/>
      </c>
      <c r="M13" s="19" t="str">
        <f t="shared" ca="1" si="6"/>
        <v/>
      </c>
    </row>
    <row r="14" spans="2:13" x14ac:dyDescent="0.3">
      <c r="G14" s="5" t="str">
        <f t="shared" ca="1" si="0"/>
        <v/>
      </c>
      <c r="H14" t="str">
        <f t="shared" ca="1" si="1"/>
        <v/>
      </c>
      <c r="I14" t="str">
        <f t="shared" ca="1" si="2"/>
        <v/>
      </c>
      <c r="J14" s="18" t="str">
        <f t="shared" ca="1" si="3"/>
        <v/>
      </c>
      <c r="K14" t="str">
        <f t="shared" ca="1" si="4"/>
        <v/>
      </c>
      <c r="L14" t="str">
        <f t="shared" ca="1" si="5"/>
        <v/>
      </c>
      <c r="M14" s="19" t="str">
        <f t="shared" ca="1" si="6"/>
        <v/>
      </c>
    </row>
    <row r="15" spans="2:13" x14ac:dyDescent="0.3">
      <c r="G15" s="5" t="str">
        <f t="shared" ca="1" si="0"/>
        <v/>
      </c>
      <c r="H15" t="str">
        <f t="shared" ca="1" si="1"/>
        <v/>
      </c>
      <c r="I15" t="str">
        <f t="shared" ca="1" si="2"/>
        <v/>
      </c>
      <c r="J15" s="18" t="str">
        <f t="shared" ca="1" si="3"/>
        <v/>
      </c>
      <c r="K15" t="str">
        <f t="shared" ca="1" si="4"/>
        <v/>
      </c>
      <c r="L15" t="str">
        <f t="shared" ca="1" si="5"/>
        <v/>
      </c>
      <c r="M15" s="19" t="str">
        <f t="shared" ca="1" si="6"/>
        <v/>
      </c>
    </row>
    <row r="16" spans="2:13" x14ac:dyDescent="0.3">
      <c r="G16" s="5" t="str">
        <f t="shared" ca="1" si="0"/>
        <v/>
      </c>
      <c r="H16" t="str">
        <f t="shared" ca="1" si="1"/>
        <v/>
      </c>
      <c r="I16" t="str">
        <f t="shared" ca="1" si="2"/>
        <v/>
      </c>
      <c r="J16" s="18" t="str">
        <f t="shared" ca="1" si="3"/>
        <v/>
      </c>
      <c r="K16" t="str">
        <f t="shared" ca="1" si="4"/>
        <v/>
      </c>
      <c r="L16" t="str">
        <f t="shared" ca="1" si="5"/>
        <v/>
      </c>
      <c r="M16" s="19" t="str">
        <f t="shared" ca="1" si="6"/>
        <v/>
      </c>
    </row>
    <row r="17" spans="7:13" x14ac:dyDescent="0.3">
      <c r="G17" s="5" t="str">
        <f t="shared" ca="1" si="0"/>
        <v/>
      </c>
      <c r="H17" t="str">
        <f t="shared" ca="1" si="1"/>
        <v/>
      </c>
      <c r="I17" t="str">
        <f t="shared" ca="1" si="2"/>
        <v/>
      </c>
      <c r="J17" s="18" t="str">
        <f t="shared" ca="1" si="3"/>
        <v/>
      </c>
      <c r="K17" t="str">
        <f t="shared" ca="1" si="4"/>
        <v/>
      </c>
      <c r="L17" t="str">
        <f t="shared" ca="1" si="5"/>
        <v/>
      </c>
      <c r="M17" s="19" t="str">
        <f t="shared" ca="1" si="6"/>
        <v/>
      </c>
    </row>
    <row r="18" spans="7:13" x14ac:dyDescent="0.3">
      <c r="G18" s="5" t="str">
        <f t="shared" ca="1" si="0"/>
        <v/>
      </c>
      <c r="H18" t="str">
        <f t="shared" ca="1" si="1"/>
        <v/>
      </c>
      <c r="I18" t="str">
        <f t="shared" ca="1" si="2"/>
        <v/>
      </c>
      <c r="J18" s="18" t="str">
        <f t="shared" ca="1" si="3"/>
        <v/>
      </c>
      <c r="K18" t="str">
        <f t="shared" ca="1" si="4"/>
        <v/>
      </c>
      <c r="L18" t="str">
        <f t="shared" ca="1" si="5"/>
        <v/>
      </c>
      <c r="M18" s="19" t="str">
        <f t="shared" ca="1" si="6"/>
        <v/>
      </c>
    </row>
    <row r="19" spans="7:13" x14ac:dyDescent="0.3">
      <c r="G19" s="5" t="str">
        <f t="shared" ca="1" si="0"/>
        <v/>
      </c>
      <c r="H19" t="str">
        <f t="shared" ca="1" si="1"/>
        <v/>
      </c>
      <c r="I19" t="str">
        <f t="shared" ca="1" si="2"/>
        <v/>
      </c>
      <c r="J19" s="18" t="str">
        <f t="shared" ca="1" si="3"/>
        <v/>
      </c>
      <c r="K19" t="str">
        <f t="shared" ca="1" si="4"/>
        <v/>
      </c>
      <c r="L19" t="str">
        <f t="shared" ca="1" si="5"/>
        <v/>
      </c>
      <c r="M19" s="19" t="str">
        <f t="shared" ca="1" si="6"/>
        <v/>
      </c>
    </row>
    <row r="20" spans="7:13" x14ac:dyDescent="0.3">
      <c r="G20" s="5" t="str">
        <f t="shared" ca="1" si="0"/>
        <v/>
      </c>
      <c r="H20" t="str">
        <f t="shared" ca="1" si="1"/>
        <v/>
      </c>
      <c r="I20" t="str">
        <f t="shared" ca="1" si="2"/>
        <v/>
      </c>
      <c r="J20" s="18" t="str">
        <f t="shared" ca="1" si="3"/>
        <v/>
      </c>
      <c r="K20" t="str">
        <f t="shared" ca="1" si="4"/>
        <v/>
      </c>
      <c r="L20" t="str">
        <f t="shared" ca="1" si="5"/>
        <v/>
      </c>
      <c r="M20" s="19" t="str">
        <f t="shared" ca="1" si="6"/>
        <v/>
      </c>
    </row>
    <row r="21" spans="7:13" x14ac:dyDescent="0.3">
      <c r="G21" s="5" t="str">
        <f t="shared" ca="1" si="0"/>
        <v/>
      </c>
      <c r="H21" t="str">
        <f t="shared" ca="1" si="1"/>
        <v/>
      </c>
      <c r="I21" t="str">
        <f t="shared" ca="1" si="2"/>
        <v/>
      </c>
      <c r="J21" s="18" t="str">
        <f t="shared" ca="1" si="3"/>
        <v/>
      </c>
      <c r="K21" t="str">
        <f t="shared" ca="1" si="4"/>
        <v/>
      </c>
      <c r="L21" t="str">
        <f t="shared" ca="1" si="5"/>
        <v/>
      </c>
      <c r="M21" s="19" t="str">
        <f t="shared" ca="1" si="6"/>
        <v/>
      </c>
    </row>
    <row r="22" spans="7:13" x14ac:dyDescent="0.3">
      <c r="G22" s="5" t="str">
        <f t="shared" ca="1" si="0"/>
        <v/>
      </c>
      <c r="H22" t="str">
        <f t="shared" ca="1" si="1"/>
        <v/>
      </c>
      <c r="I22" t="str">
        <f t="shared" ca="1" si="2"/>
        <v/>
      </c>
      <c r="J22" s="18" t="str">
        <f t="shared" ca="1" si="3"/>
        <v/>
      </c>
      <c r="K22" t="str">
        <f t="shared" ca="1" si="4"/>
        <v/>
      </c>
      <c r="L22" t="str">
        <f t="shared" ca="1" si="5"/>
        <v/>
      </c>
      <c r="M22" s="19" t="str">
        <f t="shared" ca="1" si="6"/>
        <v/>
      </c>
    </row>
    <row r="23" spans="7:13" x14ac:dyDescent="0.3">
      <c r="G23" s="5" t="str">
        <f t="shared" ca="1" si="0"/>
        <v/>
      </c>
      <c r="H23" t="str">
        <f t="shared" ca="1" si="1"/>
        <v/>
      </c>
      <c r="I23" t="str">
        <f t="shared" ca="1" si="2"/>
        <v/>
      </c>
      <c r="J23" s="18" t="str">
        <f t="shared" ca="1" si="3"/>
        <v/>
      </c>
      <c r="K23" t="str">
        <f t="shared" ca="1" si="4"/>
        <v/>
      </c>
      <c r="L23" t="str">
        <f t="shared" ca="1" si="5"/>
        <v/>
      </c>
      <c r="M23" s="19" t="str">
        <f t="shared" ca="1" si="6"/>
        <v/>
      </c>
    </row>
    <row r="24" spans="7:13" x14ac:dyDescent="0.3">
      <c r="G24" s="5" t="str">
        <f t="shared" ca="1" si="0"/>
        <v/>
      </c>
      <c r="H24" t="str">
        <f t="shared" ca="1" si="1"/>
        <v/>
      </c>
      <c r="I24" t="str">
        <f t="shared" ca="1" si="2"/>
        <v/>
      </c>
      <c r="J24" s="18" t="str">
        <f t="shared" ca="1" si="3"/>
        <v/>
      </c>
      <c r="K24" t="str">
        <f t="shared" ca="1" si="4"/>
        <v/>
      </c>
      <c r="L24" t="str">
        <f t="shared" ca="1" si="5"/>
        <v/>
      </c>
      <c r="M24" s="19" t="str">
        <f t="shared" ca="1" si="6"/>
        <v/>
      </c>
    </row>
    <row r="25" spans="7:13" x14ac:dyDescent="0.3">
      <c r="G25" s="5" t="str">
        <f t="shared" ca="1" si="0"/>
        <v/>
      </c>
      <c r="H25" t="str">
        <f t="shared" ca="1" si="1"/>
        <v/>
      </c>
      <c r="I25" t="str">
        <f t="shared" ca="1" si="2"/>
        <v/>
      </c>
      <c r="J25" s="18" t="str">
        <f t="shared" ca="1" si="3"/>
        <v/>
      </c>
      <c r="K25" t="str">
        <f t="shared" ca="1" si="4"/>
        <v/>
      </c>
      <c r="L25" t="str">
        <f t="shared" ca="1" si="5"/>
        <v/>
      </c>
      <c r="M25" s="19" t="str">
        <f t="shared" ca="1" si="6"/>
        <v/>
      </c>
    </row>
    <row r="26" spans="7:13" x14ac:dyDescent="0.3">
      <c r="G26" s="5" t="str">
        <f t="shared" ca="1" si="0"/>
        <v/>
      </c>
      <c r="H26" t="str">
        <f t="shared" ca="1" si="1"/>
        <v/>
      </c>
      <c r="I26" t="str">
        <f t="shared" ca="1" si="2"/>
        <v/>
      </c>
      <c r="J26" s="18" t="str">
        <f t="shared" ca="1" si="3"/>
        <v/>
      </c>
      <c r="K26" t="str">
        <f t="shared" ca="1" si="4"/>
        <v/>
      </c>
      <c r="L26" t="str">
        <f t="shared" ca="1" si="5"/>
        <v/>
      </c>
      <c r="M26" s="19" t="str">
        <f t="shared" ca="1" si="6"/>
        <v/>
      </c>
    </row>
    <row r="27" spans="7:13" x14ac:dyDescent="0.3">
      <c r="G27" s="5" t="str">
        <f t="shared" ca="1" si="0"/>
        <v/>
      </c>
      <c r="H27" t="str">
        <f t="shared" ca="1" si="1"/>
        <v/>
      </c>
      <c r="I27" t="str">
        <f t="shared" ca="1" si="2"/>
        <v/>
      </c>
      <c r="J27" s="18" t="str">
        <f t="shared" ca="1" si="3"/>
        <v/>
      </c>
      <c r="K27" t="str">
        <f t="shared" ca="1" si="4"/>
        <v/>
      </c>
      <c r="L27" t="str">
        <f t="shared" ca="1" si="5"/>
        <v/>
      </c>
      <c r="M27" s="19" t="str">
        <f t="shared" ca="1" si="6"/>
        <v/>
      </c>
    </row>
    <row r="28" spans="7:13" x14ac:dyDescent="0.3">
      <c r="G28" s="5" t="str">
        <f t="shared" ca="1" si="0"/>
        <v/>
      </c>
      <c r="H28" t="str">
        <f t="shared" ca="1" si="1"/>
        <v/>
      </c>
      <c r="I28" t="str">
        <f t="shared" ca="1" si="2"/>
        <v/>
      </c>
      <c r="J28" s="18" t="str">
        <f t="shared" ca="1" si="3"/>
        <v/>
      </c>
      <c r="K28" t="str">
        <f t="shared" ca="1" si="4"/>
        <v/>
      </c>
      <c r="L28" t="str">
        <f t="shared" ca="1" si="5"/>
        <v/>
      </c>
      <c r="M28" s="19" t="str">
        <f t="shared" ca="1" si="6"/>
        <v/>
      </c>
    </row>
    <row r="29" spans="7:13" x14ac:dyDescent="0.3">
      <c r="G29" s="5" t="str">
        <f t="shared" ca="1" si="0"/>
        <v/>
      </c>
      <c r="H29" t="str">
        <f t="shared" ca="1" si="1"/>
        <v/>
      </c>
      <c r="I29" t="str">
        <f t="shared" ca="1" si="2"/>
        <v/>
      </c>
      <c r="J29" s="18" t="str">
        <f t="shared" ca="1" si="3"/>
        <v/>
      </c>
      <c r="K29" t="str">
        <f t="shared" ca="1" si="4"/>
        <v/>
      </c>
      <c r="L29" t="str">
        <f t="shared" ca="1" si="5"/>
        <v/>
      </c>
      <c r="M29" s="19" t="str">
        <f t="shared" ca="1" si="6"/>
        <v/>
      </c>
    </row>
    <row r="30" spans="7:13" x14ac:dyDescent="0.3">
      <c r="G30" s="5" t="str">
        <f t="shared" ca="1" si="0"/>
        <v/>
      </c>
      <c r="H30" t="str">
        <f t="shared" ca="1" si="1"/>
        <v/>
      </c>
      <c r="I30" t="str">
        <f t="shared" ca="1" si="2"/>
        <v/>
      </c>
      <c r="J30" s="18" t="str">
        <f t="shared" ca="1" si="3"/>
        <v/>
      </c>
      <c r="K30" t="str">
        <f t="shared" ca="1" si="4"/>
        <v/>
      </c>
      <c r="L30" t="str">
        <f t="shared" ca="1" si="5"/>
        <v/>
      </c>
      <c r="M30" s="19" t="str">
        <f t="shared" ca="1" si="6"/>
        <v/>
      </c>
    </row>
    <row r="31" spans="7:13" x14ac:dyDescent="0.3">
      <c r="G31" s="5" t="str">
        <f t="shared" ca="1" si="0"/>
        <v/>
      </c>
      <c r="H31" t="str">
        <f t="shared" ca="1" si="1"/>
        <v/>
      </c>
      <c r="I31" t="str">
        <f t="shared" ca="1" si="2"/>
        <v/>
      </c>
      <c r="J31" s="18" t="str">
        <f t="shared" ca="1" si="3"/>
        <v/>
      </c>
      <c r="K31" t="str">
        <f t="shared" ca="1" si="4"/>
        <v/>
      </c>
      <c r="L31" t="str">
        <f t="shared" ca="1" si="5"/>
        <v/>
      </c>
      <c r="M31" s="19" t="str">
        <f t="shared" ca="1" si="6"/>
        <v/>
      </c>
    </row>
    <row r="32" spans="7:13" x14ac:dyDescent="0.3">
      <c r="G32" s="5" t="str">
        <f t="shared" ca="1" si="0"/>
        <v/>
      </c>
      <c r="H32" t="str">
        <f t="shared" ca="1" si="1"/>
        <v/>
      </c>
      <c r="I32" t="str">
        <f t="shared" ca="1" si="2"/>
        <v/>
      </c>
      <c r="J32" s="18" t="str">
        <f t="shared" ca="1" si="3"/>
        <v/>
      </c>
      <c r="K32" t="str">
        <f t="shared" ca="1" si="4"/>
        <v/>
      </c>
      <c r="L32" t="str">
        <f t="shared" ca="1" si="5"/>
        <v/>
      </c>
      <c r="M32" s="19" t="str">
        <f t="shared" ca="1" si="6"/>
        <v/>
      </c>
    </row>
    <row r="33" spans="7:13" x14ac:dyDescent="0.3">
      <c r="G33" s="5" t="str">
        <f t="shared" ca="1" si="0"/>
        <v/>
      </c>
      <c r="H33" t="str">
        <f t="shared" ca="1" si="1"/>
        <v/>
      </c>
      <c r="I33" t="str">
        <f t="shared" ca="1" si="2"/>
        <v/>
      </c>
      <c r="J33" s="18" t="str">
        <f t="shared" ca="1" si="3"/>
        <v/>
      </c>
      <c r="K33" t="str">
        <f t="shared" ca="1" si="4"/>
        <v/>
      </c>
      <c r="L33" t="str">
        <f t="shared" ca="1" si="5"/>
        <v/>
      </c>
      <c r="M33" s="19" t="str">
        <f t="shared" ca="1" si="6"/>
        <v/>
      </c>
    </row>
    <row r="34" spans="7:13" x14ac:dyDescent="0.3">
      <c r="G34" s="5" t="str">
        <f t="shared" ca="1" si="0"/>
        <v/>
      </c>
      <c r="H34" t="str">
        <f t="shared" ca="1" si="1"/>
        <v/>
      </c>
      <c r="I34" t="str">
        <f t="shared" ca="1" si="2"/>
        <v/>
      </c>
      <c r="J34" s="18" t="str">
        <f t="shared" ca="1" si="3"/>
        <v/>
      </c>
      <c r="K34" t="str">
        <f t="shared" ca="1" si="4"/>
        <v/>
      </c>
      <c r="L34" t="str">
        <f t="shared" ca="1" si="5"/>
        <v/>
      </c>
      <c r="M34" s="19" t="str">
        <f t="shared" ca="1" si="6"/>
        <v/>
      </c>
    </row>
    <row r="35" spans="7:13" x14ac:dyDescent="0.3">
      <c r="G35" s="5" t="str">
        <f t="shared" ca="1" si="0"/>
        <v/>
      </c>
      <c r="H35" t="str">
        <f t="shared" ca="1" si="1"/>
        <v/>
      </c>
      <c r="I35" t="str">
        <f t="shared" ca="1" si="2"/>
        <v/>
      </c>
      <c r="J35" s="18" t="str">
        <f t="shared" ca="1" si="3"/>
        <v/>
      </c>
      <c r="K35" t="str">
        <f t="shared" ca="1" si="4"/>
        <v/>
      </c>
      <c r="L35" t="str">
        <f t="shared" ca="1" si="5"/>
        <v/>
      </c>
      <c r="M35" s="19" t="str">
        <f t="shared" ca="1" si="6"/>
        <v/>
      </c>
    </row>
    <row r="36" spans="7:13" x14ac:dyDescent="0.3">
      <c r="G36" s="5" t="str">
        <f t="shared" ca="1" si="0"/>
        <v/>
      </c>
      <c r="H36" t="str">
        <f t="shared" ca="1" si="1"/>
        <v/>
      </c>
      <c r="I36" t="str">
        <f t="shared" ca="1" si="2"/>
        <v/>
      </c>
      <c r="J36" s="18" t="str">
        <f t="shared" ca="1" si="3"/>
        <v/>
      </c>
      <c r="K36" t="str">
        <f t="shared" ca="1" si="4"/>
        <v/>
      </c>
      <c r="L36" t="str">
        <f t="shared" ca="1" si="5"/>
        <v/>
      </c>
      <c r="M36" s="19" t="str">
        <f t="shared" ca="1" si="6"/>
        <v/>
      </c>
    </row>
    <row r="37" spans="7:13" x14ac:dyDescent="0.3">
      <c r="G37" s="5" t="str">
        <f t="shared" ca="1" si="0"/>
        <v/>
      </c>
      <c r="H37" t="str">
        <f t="shared" ca="1" si="1"/>
        <v/>
      </c>
      <c r="I37" t="str">
        <f t="shared" ca="1" si="2"/>
        <v/>
      </c>
      <c r="J37" s="18" t="str">
        <f t="shared" ca="1" si="3"/>
        <v/>
      </c>
      <c r="K37" t="str">
        <f t="shared" ca="1" si="4"/>
        <v/>
      </c>
      <c r="L37" t="str">
        <f t="shared" ca="1" si="5"/>
        <v/>
      </c>
      <c r="M37" s="19" t="str">
        <f t="shared" ca="1" si="6"/>
        <v/>
      </c>
    </row>
    <row r="38" spans="7:13" x14ac:dyDescent="0.3">
      <c r="G38" s="5" t="str">
        <f t="shared" ca="1" si="0"/>
        <v/>
      </c>
      <c r="H38" t="str">
        <f t="shared" ca="1" si="1"/>
        <v/>
      </c>
      <c r="I38" t="str">
        <f t="shared" ca="1" si="2"/>
        <v/>
      </c>
      <c r="J38" s="18" t="str">
        <f t="shared" ca="1" si="3"/>
        <v/>
      </c>
      <c r="K38" t="str">
        <f t="shared" ca="1" si="4"/>
        <v/>
      </c>
      <c r="L38" t="str">
        <f t="shared" ca="1" si="5"/>
        <v/>
      </c>
      <c r="M38" s="19" t="str">
        <f t="shared" ca="1" si="6"/>
        <v/>
      </c>
    </row>
    <row r="39" spans="7:13" x14ac:dyDescent="0.3">
      <c r="G39" s="5" t="str">
        <f t="shared" ca="1" si="0"/>
        <v/>
      </c>
      <c r="H39" t="str">
        <f t="shared" ca="1" si="1"/>
        <v/>
      </c>
      <c r="I39" t="str">
        <f t="shared" ca="1" si="2"/>
        <v/>
      </c>
      <c r="J39" s="18" t="str">
        <f t="shared" ca="1" si="3"/>
        <v/>
      </c>
      <c r="K39" t="str">
        <f t="shared" ca="1" si="4"/>
        <v/>
      </c>
      <c r="L39" t="str">
        <f t="shared" ca="1" si="5"/>
        <v/>
      </c>
      <c r="M39" s="19" t="str">
        <f t="shared" ca="1" si="6"/>
        <v/>
      </c>
    </row>
    <row r="40" spans="7:13" x14ac:dyDescent="0.3">
      <c r="G40" s="5" t="str">
        <f t="shared" ca="1" si="0"/>
        <v/>
      </c>
      <c r="H40" t="str">
        <f t="shared" ca="1" si="1"/>
        <v/>
      </c>
      <c r="I40" t="str">
        <f t="shared" ca="1" si="2"/>
        <v/>
      </c>
      <c r="J40" s="18" t="str">
        <f t="shared" ca="1" si="3"/>
        <v/>
      </c>
      <c r="K40" t="str">
        <f t="shared" ca="1" si="4"/>
        <v/>
      </c>
      <c r="L40" t="str">
        <f t="shared" ca="1" si="5"/>
        <v/>
      </c>
      <c r="M40" s="19" t="str">
        <f t="shared" ca="1" si="6"/>
        <v/>
      </c>
    </row>
    <row r="41" spans="7:13" x14ac:dyDescent="0.3">
      <c r="G41" s="5" t="str">
        <f t="shared" ca="1" si="0"/>
        <v/>
      </c>
      <c r="H41" t="str">
        <f t="shared" ca="1" si="1"/>
        <v/>
      </c>
      <c r="I41" t="str">
        <f t="shared" ca="1" si="2"/>
        <v/>
      </c>
      <c r="J41" s="18" t="str">
        <f t="shared" ca="1" si="3"/>
        <v/>
      </c>
      <c r="K41" t="str">
        <f t="shared" ca="1" si="4"/>
        <v/>
      </c>
      <c r="L41" t="str">
        <f t="shared" ca="1" si="5"/>
        <v/>
      </c>
      <c r="M41" s="19" t="str">
        <f t="shared" ca="1" si="6"/>
        <v/>
      </c>
    </row>
    <row r="42" spans="7:13" x14ac:dyDescent="0.3">
      <c r="G42" s="5" t="str">
        <f t="shared" ca="1" si="0"/>
        <v/>
      </c>
      <c r="H42" t="str">
        <f t="shared" ca="1" si="1"/>
        <v/>
      </c>
      <c r="I42" t="str">
        <f t="shared" ca="1" si="2"/>
        <v/>
      </c>
      <c r="J42" s="18" t="str">
        <f t="shared" ca="1" si="3"/>
        <v/>
      </c>
      <c r="K42" t="str">
        <f t="shared" ca="1" si="4"/>
        <v/>
      </c>
      <c r="L42" t="str">
        <f t="shared" ca="1" si="5"/>
        <v/>
      </c>
      <c r="M42" s="19" t="str">
        <f t="shared" ca="1" si="6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UIHHRLKIRM3IHLUEGRHJIYWMDMRZ2B2I:ms-officescript%3A%2F%2Fonedrive_business_sharinglink%2Fu!aHR0cHM6Ly91cWF0LW15LnNoYXJlcG9pbnQuY29tLzp1Oi9nL3BlcnNvbmFsL2JvdW4xMDNfdXFhdF9jYS9FVWlMTm9PdWhEUk9sR0xNR3lPZEIwZ0JOanRPY0dvQzVVY2FxYjBqWHJLdmpR"/>
</scriptIds>
</file>

<file path=customXml/itemProps1.xml><?xml version="1.0" encoding="utf-8"?>
<ds:datastoreItem xmlns:ds="http://schemas.openxmlformats.org/officeDocument/2006/customXml" ds:itemID="{AB3B148A-DD67-4972-A718-87F1E1C22F70}">
  <ds:schemaRefs>
    <ds:schemaRef ds:uri="http://schemas.microsoft.com/office/extensibility/maker/v1.0"/>
  </ds:schemaRefs>
</ds:datastoreItem>
</file>

<file path=docMetadata/LabelInfo.xml><?xml version="1.0" encoding="utf-8"?>
<clbl:labelList xmlns:clbl="http://schemas.microsoft.com/office/2020/mipLabelMetadata">
  <clbl:label id="{cf8d721f-5db2-4de6-92ac-f3310e4c4343}" enabled="1" method="Standard" siteId="{73d292cb-26a4-4f25-b5df-69a6fad715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Paramètres</vt:lpstr>
      <vt:lpstr>Simulation</vt:lpstr>
      <vt:lpstr>Preuve24Tours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Bousquet, Noé</dc:creator>
  <cp:lastModifiedBy>Bousquet, Noé</cp:lastModifiedBy>
  <dcterms:created xsi:type="dcterms:W3CDTF">2024-11-08T20:10:37Z</dcterms:created>
  <dcterms:modified xsi:type="dcterms:W3CDTF">2024-11-15T21:15:38Z</dcterms:modified>
</cp:coreProperties>
</file>