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llm\Downloads\"/>
    </mc:Choice>
  </mc:AlternateContent>
  <xr:revisionPtr revIDLastSave="0" documentId="13_ncr:1_{1C49E8BA-63FA-4A8F-B431-A12BEC26B060}" xr6:coauthVersionLast="47" xr6:coauthVersionMax="47" xr10:uidLastSave="{00000000-0000-0000-0000-000000000000}"/>
  <bookViews>
    <workbookView xWindow="576" yWindow="3648" windowWidth="23040" windowHeight="12036" activeTab="1" xr2:uid="{6B088E16-F2B9-4C7D-9EBA-C53FDBF07AE3}"/>
  </bookViews>
  <sheets>
    <sheet name="Paramètres" sheetId="1" r:id="rId1"/>
    <sheet name="Simulation" sheetId="2" r:id="rId2"/>
    <sheet name="Preuve24Tours" sheetId="5" r:id="rId3"/>
    <sheet name="Sheet4" sheetId="4" r:id="rId4"/>
  </sheets>
  <definedNames>
    <definedName name="_xleta.MAX" hidden="1" xlm="1">#NAME?</definedName>
    <definedName name="_xleta.NORM.IN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5" l="1"/>
  <c r="D4" i="5"/>
  <c r="D3" i="5"/>
  <c r="E3" i="5" s="1"/>
  <c r="D3" i="2"/>
  <c r="D4" i="2"/>
  <c r="E4" i="2" s="1"/>
  <c r="E3" i="2"/>
  <c r="E4" i="5"/>
  <c r="E4" i="4"/>
  <c r="E3" i="4"/>
  <c r="K4" i="5" l="1"/>
  <c r="M4" i="5" s="1"/>
  <c r="I4" i="5"/>
  <c r="L4" i="5" s="1"/>
  <c r="G4" i="5"/>
  <c r="H4" i="2"/>
  <c r="I4" i="2" s="1"/>
  <c r="L4" i="2" s="1"/>
  <c r="C8" i="4"/>
  <c r="D8" i="4" s="1"/>
  <c r="I4" i="4" s="1"/>
  <c r="G4" i="4"/>
  <c r="C7" i="4"/>
  <c r="G4" i="2"/>
  <c r="J4" i="2"/>
  <c r="N4" i="5" l="1"/>
  <c r="O4" i="5"/>
  <c r="P4" i="5"/>
  <c r="Q4" i="5"/>
  <c r="K4" i="2"/>
  <c r="M4" i="2" s="1"/>
  <c r="O4" i="2" s="1"/>
  <c r="D7" i="4"/>
  <c r="H4" i="4" s="1"/>
  <c r="R4" i="5" l="1"/>
  <c r="P4" i="2"/>
  <c r="Q4" i="2"/>
  <c r="N4" i="2"/>
  <c r="K4" i="4"/>
  <c r="K5" i="5" l="1"/>
  <c r="M5" i="5" s="1"/>
  <c r="G5" i="5"/>
  <c r="I5" i="5"/>
  <c r="L5" i="5" s="1"/>
  <c r="R4" i="2"/>
  <c r="H5" i="2" s="1"/>
  <c r="L4" i="4"/>
  <c r="M4" i="4" s="1"/>
  <c r="J4" i="4"/>
  <c r="N5" i="5" l="1"/>
  <c r="Q5" i="5"/>
  <c r="P5" i="5"/>
  <c r="O5" i="5"/>
  <c r="J5" i="2"/>
  <c r="K5" i="2" s="1"/>
  <c r="M5" i="2" s="1"/>
  <c r="G5" i="2"/>
  <c r="I5" i="2"/>
  <c r="L5" i="2" s="1"/>
  <c r="H5" i="4"/>
  <c r="I5" i="4"/>
  <c r="G5" i="4"/>
  <c r="R5" i="5" l="1"/>
  <c r="K6" i="5" s="1"/>
  <c r="M6" i="5" s="1"/>
  <c r="P5" i="2"/>
  <c r="N5" i="2"/>
  <c r="O5" i="2"/>
  <c r="Q5" i="2"/>
  <c r="K5" i="4"/>
  <c r="L5" i="4"/>
  <c r="J5" i="4"/>
  <c r="G6" i="5" l="1"/>
  <c r="I6" i="5"/>
  <c r="L6" i="5" s="1"/>
  <c r="O6" i="5" s="1"/>
  <c r="P6" i="5"/>
  <c r="R5" i="2"/>
  <c r="H6" i="2" s="1"/>
  <c r="I6" i="2" s="1"/>
  <c r="M5" i="4"/>
  <c r="Q6" i="5" l="1"/>
  <c r="N6" i="5"/>
  <c r="R6" i="5"/>
  <c r="G7" i="5" s="1"/>
  <c r="J6" i="2"/>
  <c r="K6" i="2" s="1"/>
  <c r="G6" i="2"/>
  <c r="L6" i="2"/>
  <c r="G6" i="4"/>
  <c r="H6" i="4"/>
  <c r="I6" i="4"/>
  <c r="K7" i="5" l="1"/>
  <c r="M7" i="5" s="1"/>
  <c r="I7" i="5"/>
  <c r="L7" i="5" s="1"/>
  <c r="M6" i="2"/>
  <c r="P6" i="2" s="1"/>
  <c r="J6" i="4"/>
  <c r="L6" i="4"/>
  <c r="K6" i="4"/>
  <c r="P7" i="5" l="1"/>
  <c r="Q7" i="5"/>
  <c r="O7" i="5"/>
  <c r="N7" i="5"/>
  <c r="O6" i="2"/>
  <c r="Q6" i="2"/>
  <c r="R6" i="2" s="1"/>
  <c r="N6" i="2"/>
  <c r="M6" i="4"/>
  <c r="I7" i="4" s="1"/>
  <c r="R7" i="5" l="1"/>
  <c r="G8" i="5" s="1"/>
  <c r="J7" i="2"/>
  <c r="K7" i="2" s="1"/>
  <c r="G7" i="2"/>
  <c r="H7" i="2"/>
  <c r="I7" i="2" s="1"/>
  <c r="L7" i="2" s="1"/>
  <c r="H7" i="4"/>
  <c r="G7" i="4"/>
  <c r="K8" i="5" l="1"/>
  <c r="M8" i="5" s="1"/>
  <c r="I8" i="5"/>
  <c r="L8" i="5" s="1"/>
  <c r="M7" i="2"/>
  <c r="P7" i="2" s="1"/>
  <c r="L7" i="4"/>
  <c r="J7" i="4"/>
  <c r="K7" i="4"/>
  <c r="P8" i="5" l="1"/>
  <c r="O8" i="5"/>
  <c r="Q8" i="5"/>
  <c r="N8" i="5"/>
  <c r="R8" i="5"/>
  <c r="O7" i="2"/>
  <c r="N7" i="2"/>
  <c r="Q7" i="2"/>
  <c r="R7" i="2" s="1"/>
  <c r="M7" i="4"/>
  <c r="G8" i="4" s="1"/>
  <c r="G9" i="5" l="1"/>
  <c r="I9" i="5"/>
  <c r="L9" i="5" s="1"/>
  <c r="K9" i="5"/>
  <c r="M9" i="5" s="1"/>
  <c r="G8" i="2"/>
  <c r="J8" i="2"/>
  <c r="H8" i="2"/>
  <c r="I8" i="2" s="1"/>
  <c r="L8" i="2" s="1"/>
  <c r="H8" i="4"/>
  <c r="I8" i="4"/>
  <c r="N9" i="5" l="1"/>
  <c r="Q9" i="5"/>
  <c r="P9" i="5"/>
  <c r="O9" i="5"/>
  <c r="K8" i="2"/>
  <c r="M8" i="2" s="1"/>
  <c r="N8" i="2" s="1"/>
  <c r="J8" i="4"/>
  <c r="K8" i="4"/>
  <c r="L8" i="4"/>
  <c r="R9" i="5" l="1"/>
  <c r="O8" i="2"/>
  <c r="Q8" i="2"/>
  <c r="P8" i="2"/>
  <c r="M8" i="4"/>
  <c r="H9" i="4" s="1"/>
  <c r="K10" i="5" l="1"/>
  <c r="M10" i="5" s="1"/>
  <c r="G10" i="5"/>
  <c r="I10" i="5"/>
  <c r="L10" i="5" s="1"/>
  <c r="R8" i="2"/>
  <c r="I9" i="4"/>
  <c r="K9" i="4" s="1"/>
  <c r="G9" i="4"/>
  <c r="O10" i="5" l="1"/>
  <c r="Q10" i="5"/>
  <c r="N10" i="5"/>
  <c r="P10" i="5"/>
  <c r="R10" i="5" s="1"/>
  <c r="K11" i="5" s="1"/>
  <c r="J9" i="2"/>
  <c r="G9" i="2"/>
  <c r="H9" i="2"/>
  <c r="J9" i="4"/>
  <c r="L9" i="4"/>
  <c r="M9" i="4" s="1"/>
  <c r="H10" i="4" s="1"/>
  <c r="M11" i="5" l="1"/>
  <c r="I11" i="5"/>
  <c r="L11" i="5" s="1"/>
  <c r="G11" i="5"/>
  <c r="I9" i="2"/>
  <c r="L9" i="2" s="1"/>
  <c r="K9" i="2"/>
  <c r="M9" i="2" s="1"/>
  <c r="G10" i="4"/>
  <c r="I10" i="4"/>
  <c r="J10" i="4" s="1"/>
  <c r="N11" i="5" l="1"/>
  <c r="P11" i="5"/>
  <c r="O11" i="5"/>
  <c r="Q11" i="5"/>
  <c r="P9" i="2"/>
  <c r="Q9" i="2"/>
  <c r="N9" i="2"/>
  <c r="O9" i="2"/>
  <c r="K10" i="4"/>
  <c r="L10" i="4"/>
  <c r="R11" i="5" l="1"/>
  <c r="R9" i="2"/>
  <c r="M10" i="4"/>
  <c r="K12" i="5" l="1"/>
  <c r="I12" i="5"/>
  <c r="L12" i="5" s="1"/>
  <c r="M12" i="5"/>
  <c r="G12" i="5"/>
  <c r="J10" i="2"/>
  <c r="G10" i="2"/>
  <c r="H10" i="2"/>
  <c r="I10" i="2" s="1"/>
  <c r="G11" i="4"/>
  <c r="H11" i="4"/>
  <c r="I11" i="4"/>
  <c r="N12" i="5" l="1"/>
  <c r="O12" i="5"/>
  <c r="Q12" i="5"/>
  <c r="P12" i="5"/>
  <c r="R12" i="5" s="1"/>
  <c r="K13" i="5" s="1"/>
  <c r="K10" i="2"/>
  <c r="M10" i="2" s="1"/>
  <c r="L10" i="2"/>
  <c r="L11" i="4"/>
  <c r="K11" i="4"/>
  <c r="J11" i="4"/>
  <c r="G13" i="5" l="1"/>
  <c r="M13" i="5"/>
  <c r="I13" i="5"/>
  <c r="L13" i="5" s="1"/>
  <c r="N10" i="2"/>
  <c r="Q10" i="2"/>
  <c r="P10" i="2"/>
  <c r="O10" i="2"/>
  <c r="M11" i="4"/>
  <c r="H12" i="4" s="1"/>
  <c r="O13" i="5" l="1"/>
  <c r="N13" i="5"/>
  <c r="Q13" i="5"/>
  <c r="P13" i="5"/>
  <c r="R10" i="2"/>
  <c r="H11" i="2" s="1"/>
  <c r="I11" i="2" s="1"/>
  <c r="I12" i="4"/>
  <c r="L12" i="4" s="1"/>
  <c r="G12" i="4"/>
  <c r="R13" i="5" l="1"/>
  <c r="K14" i="5" s="1"/>
  <c r="M14" i="5" s="1"/>
  <c r="J12" i="4"/>
  <c r="K12" i="4"/>
  <c r="M12" i="4" s="1"/>
  <c r="H13" i="4" s="1"/>
  <c r="G11" i="2"/>
  <c r="J11" i="2"/>
  <c r="K11" i="2" s="1"/>
  <c r="M11" i="2" s="1"/>
  <c r="L11" i="2"/>
  <c r="G14" i="5" l="1"/>
  <c r="I14" i="5"/>
  <c r="L14" i="5" s="1"/>
  <c r="Q14" i="5" s="1"/>
  <c r="N14" i="5"/>
  <c r="P14" i="5"/>
  <c r="R14" i="5" s="1"/>
  <c r="N11" i="2"/>
  <c r="G13" i="4"/>
  <c r="I13" i="4"/>
  <c r="L13" i="4" s="1"/>
  <c r="P11" i="2"/>
  <c r="Q11" i="2"/>
  <c r="O11" i="2"/>
  <c r="O14" i="5" l="1"/>
  <c r="K15" i="5"/>
  <c r="M15" i="5" s="1"/>
  <c r="I15" i="5"/>
  <c r="L15" i="5" s="1"/>
  <c r="G15" i="5"/>
  <c r="J13" i="4"/>
  <c r="K13" i="4"/>
  <c r="M13" i="4" s="1"/>
  <c r="G14" i="4" s="1"/>
  <c r="R11" i="2"/>
  <c r="N15" i="5" l="1"/>
  <c r="O15" i="5"/>
  <c r="Q15" i="5"/>
  <c r="P15" i="5"/>
  <c r="R15" i="5" s="1"/>
  <c r="H14" i="4"/>
  <c r="I14" i="4"/>
  <c r="L14" i="4"/>
  <c r="G12" i="2"/>
  <c r="J12" i="2"/>
  <c r="H12" i="2"/>
  <c r="I12" i="2" s="1"/>
  <c r="J14" i="4"/>
  <c r="K14" i="4"/>
  <c r="M14" i="4" s="1"/>
  <c r="I16" i="5" l="1"/>
  <c r="L16" i="5" s="1"/>
  <c r="G16" i="5"/>
  <c r="K16" i="5"/>
  <c r="M16" i="5" s="1"/>
  <c r="L12" i="2"/>
  <c r="K12" i="2"/>
  <c r="M12" i="2" s="1"/>
  <c r="G15" i="4"/>
  <c r="L15" i="4"/>
  <c r="H15" i="4"/>
  <c r="I15" i="4"/>
  <c r="K15" i="4" s="1"/>
  <c r="M15" i="4" s="1"/>
  <c r="N16" i="5" l="1"/>
  <c r="O16" i="5"/>
  <c r="Q16" i="5"/>
  <c r="P16" i="5"/>
  <c r="J15" i="4"/>
  <c r="N12" i="2"/>
  <c r="P12" i="2"/>
  <c r="O12" i="2"/>
  <c r="Q12" i="2"/>
  <c r="J16" i="4"/>
  <c r="K16" i="4"/>
  <c r="H16" i="4"/>
  <c r="M16" i="4"/>
  <c r="G16" i="4"/>
  <c r="L16" i="4"/>
  <c r="I16" i="4"/>
  <c r="R16" i="5" l="1"/>
  <c r="R12" i="2"/>
  <c r="L17" i="4"/>
  <c r="H17" i="4"/>
  <c r="I17" i="4"/>
  <c r="K17" i="4"/>
  <c r="M17" i="4"/>
  <c r="J17" i="4"/>
  <c r="G17" i="4"/>
  <c r="G17" i="5" l="1"/>
  <c r="I17" i="5"/>
  <c r="L17" i="5" s="1"/>
  <c r="K17" i="5"/>
  <c r="M17" i="5" s="1"/>
  <c r="I13" i="2"/>
  <c r="H13" i="2"/>
  <c r="G13" i="2"/>
  <c r="J13" i="2"/>
  <c r="K13" i="2" s="1"/>
  <c r="H18" i="4"/>
  <c r="L18" i="4"/>
  <c r="I18" i="4"/>
  <c r="G18" i="4"/>
  <c r="M18" i="4"/>
  <c r="K18" i="4"/>
  <c r="J18" i="4"/>
  <c r="O17" i="5" l="1"/>
  <c r="N17" i="5"/>
  <c r="P17" i="5"/>
  <c r="Q17" i="5"/>
  <c r="L13" i="2"/>
  <c r="M13" i="2"/>
  <c r="I19" i="4"/>
  <c r="J19" i="4"/>
  <c r="G19" i="4"/>
  <c r="L19" i="4"/>
  <c r="K19" i="4"/>
  <c r="H19" i="4"/>
  <c r="M19" i="4"/>
  <c r="R17" i="5" l="1"/>
  <c r="I18" i="5" s="1"/>
  <c r="O13" i="2"/>
  <c r="Q13" i="2"/>
  <c r="N13" i="2"/>
  <c r="P13" i="2"/>
  <c r="R13" i="2" s="1"/>
  <c r="K20" i="4"/>
  <c r="J20" i="4"/>
  <c r="G20" i="4"/>
  <c r="L20" i="4"/>
  <c r="I20" i="4"/>
  <c r="M20" i="4"/>
  <c r="H20" i="4"/>
  <c r="G18" i="5" l="1"/>
  <c r="M18" i="5"/>
  <c r="L18" i="5"/>
  <c r="Q14" i="2"/>
  <c r="K14" i="2"/>
  <c r="I14" i="2"/>
  <c r="O14" i="2"/>
  <c r="M14" i="2"/>
  <c r="L14" i="2"/>
  <c r="J14" i="2"/>
  <c r="G14" i="2"/>
  <c r="R14" i="2"/>
  <c r="N14" i="2"/>
  <c r="H14" i="2"/>
  <c r="P14" i="2"/>
  <c r="M21" i="4"/>
  <c r="H21" i="4"/>
  <c r="L21" i="4"/>
  <c r="J21" i="4"/>
  <c r="G21" i="4"/>
  <c r="K21" i="4"/>
  <c r="I21" i="4"/>
  <c r="O18" i="5" l="1"/>
  <c r="N18" i="5"/>
  <c r="Q18" i="5"/>
  <c r="P18" i="5"/>
  <c r="R15" i="2"/>
  <c r="N15" i="2"/>
  <c r="O15" i="2"/>
  <c r="P15" i="2"/>
  <c r="I15" i="2"/>
  <c r="L15" i="2"/>
  <c r="G15" i="2"/>
  <c r="K15" i="2"/>
  <c r="J15" i="2"/>
  <c r="H15" i="2"/>
  <c r="Q15" i="2"/>
  <c r="M15" i="2"/>
  <c r="H22" i="4"/>
  <c r="L22" i="4"/>
  <c r="I22" i="4"/>
  <c r="K22" i="4"/>
  <c r="M22" i="4"/>
  <c r="J22" i="4"/>
  <c r="G22" i="4"/>
  <c r="R18" i="5" l="1"/>
  <c r="I19" i="5" s="1"/>
  <c r="L19" i="5" s="1"/>
  <c r="R16" i="2"/>
  <c r="H16" i="2"/>
  <c r="P16" i="2"/>
  <c r="O16" i="2"/>
  <c r="L16" i="2"/>
  <c r="K16" i="2"/>
  <c r="J16" i="2"/>
  <c r="M16" i="2"/>
  <c r="G16" i="2"/>
  <c r="I16" i="2"/>
  <c r="Q16" i="2"/>
  <c r="N16" i="2"/>
  <c r="J23" i="4"/>
  <c r="G23" i="4"/>
  <c r="H23" i="4"/>
  <c r="K23" i="4"/>
  <c r="L23" i="4"/>
  <c r="M23" i="4"/>
  <c r="I23" i="4"/>
  <c r="K19" i="5" l="1"/>
  <c r="M19" i="5" s="1"/>
  <c r="P19" i="5" s="1"/>
  <c r="R19" i="5" s="1"/>
  <c r="O19" i="5"/>
  <c r="Q19" i="5"/>
  <c r="G19" i="5"/>
  <c r="P17" i="2"/>
  <c r="J17" i="2"/>
  <c r="O17" i="2"/>
  <c r="N17" i="2"/>
  <c r="R17" i="2"/>
  <c r="G17" i="2"/>
  <c r="K17" i="2"/>
  <c r="L17" i="2"/>
  <c r="M17" i="2"/>
  <c r="I17" i="2"/>
  <c r="Q17" i="2"/>
  <c r="H17" i="2"/>
  <c r="G24" i="4"/>
  <c r="I24" i="4"/>
  <c r="M24" i="4"/>
  <c r="K24" i="4"/>
  <c r="J24" i="4"/>
  <c r="L24" i="4"/>
  <c r="H24" i="4"/>
  <c r="K20" i="5" l="1"/>
  <c r="I20" i="5"/>
  <c r="L20" i="5" s="1"/>
  <c r="M20" i="5"/>
  <c r="G20" i="5"/>
  <c r="N19" i="5"/>
  <c r="O18" i="2"/>
  <c r="H18" i="2"/>
  <c r="N18" i="2"/>
  <c r="R18" i="2"/>
  <c r="Q18" i="2"/>
  <c r="P18" i="2"/>
  <c r="K18" i="2"/>
  <c r="L18" i="2"/>
  <c r="J18" i="2"/>
  <c r="I18" i="2"/>
  <c r="G18" i="2"/>
  <c r="M18" i="2"/>
  <c r="L25" i="4"/>
  <c r="M25" i="4"/>
  <c r="G25" i="4"/>
  <c r="I25" i="4"/>
  <c r="J25" i="4"/>
  <c r="H25" i="4"/>
  <c r="K25" i="4"/>
  <c r="Q20" i="5" l="1"/>
  <c r="O20" i="5"/>
  <c r="P20" i="5"/>
  <c r="R20" i="5" s="1"/>
  <c r="N20" i="5"/>
  <c r="M19" i="2"/>
  <c r="J19" i="2"/>
  <c r="H19" i="2"/>
  <c r="O19" i="2"/>
  <c r="K19" i="2"/>
  <c r="Q19" i="2"/>
  <c r="N19" i="2"/>
  <c r="R19" i="2"/>
  <c r="P19" i="2"/>
  <c r="L19" i="2"/>
  <c r="G19" i="2"/>
  <c r="I19" i="2"/>
  <c r="K26" i="4"/>
  <c r="M26" i="4"/>
  <c r="I26" i="4"/>
  <c r="J26" i="4"/>
  <c r="G26" i="4"/>
  <c r="H26" i="4"/>
  <c r="L26" i="4"/>
  <c r="K21" i="5" l="1"/>
  <c r="M21" i="5"/>
  <c r="G21" i="5"/>
  <c r="I21" i="5"/>
  <c r="L21" i="5" s="1"/>
  <c r="N20" i="2"/>
  <c r="J20" i="2"/>
  <c r="G20" i="2"/>
  <c r="M20" i="2"/>
  <c r="H20" i="2"/>
  <c r="L20" i="2"/>
  <c r="Q20" i="2"/>
  <c r="P20" i="2"/>
  <c r="R20" i="2"/>
  <c r="I20" i="2"/>
  <c r="K20" i="2"/>
  <c r="O20" i="2"/>
  <c r="I27" i="4"/>
  <c r="G27" i="4"/>
  <c r="K27" i="4"/>
  <c r="M27" i="4"/>
  <c r="J27" i="4"/>
  <c r="H27" i="4"/>
  <c r="L27" i="4"/>
  <c r="N21" i="5" l="1"/>
  <c r="Q21" i="5"/>
  <c r="P21" i="5"/>
  <c r="O21" i="5"/>
  <c r="G21" i="2"/>
  <c r="K21" i="2"/>
  <c r="J21" i="2"/>
  <c r="O21" i="2"/>
  <c r="M21" i="2"/>
  <c r="I21" i="2"/>
  <c r="P21" i="2"/>
  <c r="R21" i="2"/>
  <c r="H21" i="2"/>
  <c r="N21" i="2"/>
  <c r="L21" i="2"/>
  <c r="Q21" i="2"/>
  <c r="J28" i="4"/>
  <c r="M28" i="4"/>
  <c r="L28" i="4"/>
  <c r="G28" i="4"/>
  <c r="H28" i="4"/>
  <c r="I28" i="4"/>
  <c r="K28" i="4"/>
  <c r="R21" i="5" l="1"/>
  <c r="R22" i="2"/>
  <c r="I22" i="2"/>
  <c r="L22" i="2"/>
  <c r="G22" i="2"/>
  <c r="Q22" i="2"/>
  <c r="M22" i="2"/>
  <c r="J22" i="2"/>
  <c r="P22" i="2"/>
  <c r="K22" i="2"/>
  <c r="H22" i="2"/>
  <c r="N22" i="2"/>
  <c r="O22" i="2"/>
  <c r="H29" i="4"/>
  <c r="I29" i="4"/>
  <c r="K29" i="4"/>
  <c r="L29" i="4"/>
  <c r="G29" i="4"/>
  <c r="J29" i="4"/>
  <c r="M29" i="4"/>
  <c r="K22" i="5" l="1"/>
  <c r="M22" i="5"/>
  <c r="G22" i="5"/>
  <c r="L22" i="5"/>
  <c r="Q22" i="5" s="1"/>
  <c r="I22" i="5"/>
  <c r="G23" i="2"/>
  <c r="J23" i="2"/>
  <c r="Q23" i="2"/>
  <c r="I23" i="2"/>
  <c r="L23" i="2"/>
  <c r="R23" i="2"/>
  <c r="M23" i="2"/>
  <c r="N23" i="2"/>
  <c r="H23" i="2"/>
  <c r="P23" i="2"/>
  <c r="K23" i="2"/>
  <c r="O23" i="2"/>
  <c r="M30" i="4"/>
  <c r="L30" i="4"/>
  <c r="G30" i="4"/>
  <c r="K30" i="4"/>
  <c r="H30" i="4"/>
  <c r="I30" i="4"/>
  <c r="J30" i="4"/>
  <c r="N22" i="5" l="1"/>
  <c r="O22" i="5"/>
  <c r="P22" i="5"/>
  <c r="R22" i="5" s="1"/>
  <c r="H24" i="2"/>
  <c r="Q24" i="2"/>
  <c r="M24" i="2"/>
  <c r="P24" i="2"/>
  <c r="R24" i="2"/>
  <c r="J24" i="2"/>
  <c r="I24" i="2"/>
  <c r="L24" i="2"/>
  <c r="G24" i="2"/>
  <c r="O24" i="2"/>
  <c r="K24" i="2"/>
  <c r="N24" i="2"/>
  <c r="K31" i="4"/>
  <c r="G31" i="4"/>
  <c r="M31" i="4"/>
  <c r="I31" i="4"/>
  <c r="H31" i="4"/>
  <c r="J31" i="4"/>
  <c r="L31" i="4"/>
  <c r="K23" i="5" l="1"/>
  <c r="I23" i="5"/>
  <c r="L23" i="5"/>
  <c r="Q23" i="5" s="1"/>
  <c r="M23" i="5"/>
  <c r="N23" i="5" s="1"/>
  <c r="G23" i="5"/>
  <c r="R25" i="2"/>
  <c r="G25" i="2"/>
  <c r="J25" i="2"/>
  <c r="L25" i="2"/>
  <c r="I25" i="2"/>
  <c r="M25" i="2"/>
  <c r="N25" i="2"/>
  <c r="P25" i="2"/>
  <c r="O25" i="2"/>
  <c r="K25" i="2"/>
  <c r="Q25" i="2"/>
  <c r="H25" i="2"/>
  <c r="K32" i="4"/>
  <c r="L32" i="4"/>
  <c r="J32" i="4"/>
  <c r="I32" i="4"/>
  <c r="G32" i="4"/>
  <c r="H32" i="4"/>
  <c r="M32" i="4"/>
  <c r="P23" i="5" l="1"/>
  <c r="R23" i="5" s="1"/>
  <c r="O23" i="5"/>
  <c r="I26" i="2"/>
  <c r="P26" i="2"/>
  <c r="J26" i="2"/>
  <c r="N26" i="2"/>
  <c r="G26" i="2"/>
  <c r="L26" i="2"/>
  <c r="Q26" i="2"/>
  <c r="R26" i="2"/>
  <c r="H26" i="2"/>
  <c r="K26" i="2"/>
  <c r="O26" i="2"/>
  <c r="M26" i="2"/>
  <c r="G33" i="4"/>
  <c r="K33" i="4"/>
  <c r="L33" i="4"/>
  <c r="M33" i="4"/>
  <c r="J33" i="4"/>
  <c r="H33" i="4"/>
  <c r="I33" i="4"/>
  <c r="K24" i="5" l="1"/>
  <c r="M24" i="5"/>
  <c r="I24" i="5"/>
  <c r="L24" i="5" s="1"/>
  <c r="G24" i="5"/>
  <c r="G27" i="2"/>
  <c r="N27" i="2"/>
  <c r="P27" i="2"/>
  <c r="L27" i="2"/>
  <c r="H27" i="2"/>
  <c r="J27" i="2"/>
  <c r="M27" i="2"/>
  <c r="K27" i="2"/>
  <c r="O27" i="2"/>
  <c r="R27" i="2"/>
  <c r="I27" i="2"/>
  <c r="Q27" i="2"/>
  <c r="I34" i="4"/>
  <c r="M34" i="4"/>
  <c r="K34" i="4"/>
  <c r="L34" i="4"/>
  <c r="J34" i="4"/>
  <c r="G34" i="4"/>
  <c r="H34" i="4"/>
  <c r="N24" i="5" l="1"/>
  <c r="P24" i="5"/>
  <c r="O24" i="5"/>
  <c r="Q24" i="5"/>
  <c r="G28" i="2"/>
  <c r="Q28" i="2"/>
  <c r="J28" i="2"/>
  <c r="H28" i="2"/>
  <c r="I28" i="2"/>
  <c r="M28" i="2"/>
  <c r="K28" i="2"/>
  <c r="P28" i="2"/>
  <c r="O28" i="2"/>
  <c r="R28" i="2"/>
  <c r="N28" i="2"/>
  <c r="L28" i="2"/>
  <c r="I35" i="4"/>
  <c r="K35" i="4"/>
  <c r="J35" i="4"/>
  <c r="M35" i="4"/>
  <c r="G35" i="4"/>
  <c r="H35" i="4"/>
  <c r="L35" i="4"/>
  <c r="R24" i="5" l="1"/>
  <c r="M29" i="2"/>
  <c r="O29" i="2"/>
  <c r="Q29" i="2"/>
  <c r="G29" i="2"/>
  <c r="I29" i="2"/>
  <c r="J29" i="2"/>
  <c r="R29" i="2"/>
  <c r="H29" i="2"/>
  <c r="K29" i="2"/>
  <c r="N29" i="2"/>
  <c r="P29" i="2"/>
  <c r="L29" i="2"/>
  <c r="L36" i="4"/>
  <c r="M36" i="4"/>
  <c r="G36" i="4"/>
  <c r="J36" i="4"/>
  <c r="K36" i="4"/>
  <c r="I36" i="4"/>
  <c r="H36" i="4"/>
  <c r="K25" i="5" l="1"/>
  <c r="G25" i="5"/>
  <c r="L25" i="5"/>
  <c r="P25" i="5" s="1"/>
  <c r="I25" i="5"/>
  <c r="M25" i="5"/>
  <c r="L30" i="2"/>
  <c r="R30" i="2"/>
  <c r="I30" i="2"/>
  <c r="O30" i="2"/>
  <c r="M30" i="2"/>
  <c r="K30" i="2"/>
  <c r="G30" i="2"/>
  <c r="Q30" i="2"/>
  <c r="J30" i="2"/>
  <c r="P30" i="2"/>
  <c r="N30" i="2"/>
  <c r="H30" i="2"/>
  <c r="I37" i="4"/>
  <c r="M37" i="4"/>
  <c r="K37" i="4"/>
  <c r="G37" i="4"/>
  <c r="J37" i="4"/>
  <c r="L37" i="4"/>
  <c r="H37" i="4"/>
  <c r="N25" i="5" l="1"/>
  <c r="O25" i="5"/>
  <c r="Q25" i="5"/>
  <c r="R25" i="5" s="1"/>
  <c r="O31" i="2"/>
  <c r="K31" i="2"/>
  <c r="Q31" i="2"/>
  <c r="J31" i="2"/>
  <c r="N31" i="2"/>
  <c r="R31" i="2"/>
  <c r="G31" i="2"/>
  <c r="L31" i="2"/>
  <c r="M31" i="2"/>
  <c r="I31" i="2"/>
  <c r="H31" i="2"/>
  <c r="P31" i="2"/>
  <c r="I38" i="4"/>
  <c r="J38" i="4"/>
  <c r="M38" i="4"/>
  <c r="G38" i="4"/>
  <c r="K38" i="4"/>
  <c r="H38" i="4"/>
  <c r="L38" i="4"/>
  <c r="K26" i="5" l="1"/>
  <c r="I26" i="5"/>
  <c r="M26" i="5"/>
  <c r="L26" i="5"/>
  <c r="P26" i="5" s="1"/>
  <c r="G26" i="5"/>
  <c r="N32" i="2"/>
  <c r="J32" i="2"/>
  <c r="G32" i="2"/>
  <c r="I32" i="2"/>
  <c r="O32" i="2"/>
  <c r="R32" i="2"/>
  <c r="K32" i="2"/>
  <c r="L32" i="2"/>
  <c r="H32" i="2"/>
  <c r="Q32" i="2"/>
  <c r="M32" i="2"/>
  <c r="P32" i="2"/>
  <c r="K39" i="4"/>
  <c r="H39" i="4"/>
  <c r="G39" i="4"/>
  <c r="I39" i="4"/>
  <c r="L39" i="4"/>
  <c r="J39" i="4"/>
  <c r="M39" i="4"/>
  <c r="O26" i="5" l="1"/>
  <c r="Q26" i="5"/>
  <c r="R26" i="5" s="1"/>
  <c r="N26" i="5"/>
  <c r="P33" i="2"/>
  <c r="M33" i="2"/>
  <c r="H33" i="2"/>
  <c r="O33" i="2"/>
  <c r="R33" i="2"/>
  <c r="J33" i="2"/>
  <c r="N33" i="2"/>
  <c r="G33" i="2"/>
  <c r="L33" i="2"/>
  <c r="K33" i="2"/>
  <c r="I33" i="2"/>
  <c r="Q33" i="2"/>
  <c r="G40" i="4"/>
  <c r="M40" i="4"/>
  <c r="I40" i="4"/>
  <c r="L40" i="4"/>
  <c r="H40" i="4"/>
  <c r="J40" i="4"/>
  <c r="K40" i="4"/>
  <c r="K27" i="5" l="1"/>
  <c r="G27" i="5"/>
  <c r="M27" i="5"/>
  <c r="L27" i="5"/>
  <c r="Q27" i="5" s="1"/>
  <c r="I27" i="5"/>
  <c r="M34" i="2"/>
  <c r="L34" i="2"/>
  <c r="G34" i="2"/>
  <c r="O34" i="2"/>
  <c r="N34" i="2"/>
  <c r="J34" i="2"/>
  <c r="P34" i="2"/>
  <c r="K34" i="2"/>
  <c r="Q34" i="2"/>
  <c r="R34" i="2"/>
  <c r="I34" i="2"/>
  <c r="H34" i="2"/>
  <c r="J41" i="4"/>
  <c r="M41" i="4"/>
  <c r="G41" i="4"/>
  <c r="L41" i="4"/>
  <c r="K41" i="4"/>
  <c r="H41" i="4"/>
  <c r="I41" i="4"/>
  <c r="N27" i="5" l="1"/>
  <c r="P27" i="5"/>
  <c r="R27" i="5" s="1"/>
  <c r="O27" i="5"/>
  <c r="K35" i="2"/>
  <c r="P35" i="2"/>
  <c r="N35" i="2"/>
  <c r="M35" i="2"/>
  <c r="R35" i="2"/>
  <c r="J35" i="2"/>
  <c r="H35" i="2"/>
  <c r="Q35" i="2"/>
  <c r="G35" i="2"/>
  <c r="O35" i="2"/>
  <c r="I35" i="2"/>
  <c r="L35" i="2"/>
  <c r="J42" i="4"/>
  <c r="M42" i="4"/>
  <c r="G42" i="4"/>
  <c r="K42" i="4"/>
  <c r="L42" i="4"/>
  <c r="H42" i="4"/>
  <c r="I42" i="4"/>
  <c r="K28" i="5" l="1"/>
  <c r="R28" i="5"/>
  <c r="O28" i="5"/>
  <c r="I28" i="5"/>
  <c r="P28" i="5"/>
  <c r="L28" i="5"/>
  <c r="Q28" i="5"/>
  <c r="G28" i="5"/>
  <c r="M28" i="5"/>
  <c r="N28" i="5"/>
  <c r="O36" i="2"/>
  <c r="N36" i="2"/>
  <c r="M36" i="2"/>
  <c r="J36" i="2"/>
  <c r="L36" i="2"/>
  <c r="G36" i="2"/>
  <c r="I36" i="2"/>
  <c r="K36" i="2"/>
  <c r="P36" i="2"/>
  <c r="R36" i="2"/>
  <c r="Q36" i="2"/>
  <c r="H36" i="2"/>
  <c r="K29" i="5" l="1"/>
  <c r="I29" i="5"/>
  <c r="M29" i="5"/>
  <c r="O29" i="5"/>
  <c r="G29" i="5"/>
  <c r="N29" i="5"/>
  <c r="P29" i="5"/>
  <c r="R29" i="5"/>
  <c r="L29" i="5"/>
  <c r="Q29" i="5"/>
  <c r="R37" i="2"/>
  <c r="N37" i="2"/>
  <c r="O37" i="2"/>
  <c r="L37" i="2"/>
  <c r="H37" i="2"/>
  <c r="I37" i="2"/>
  <c r="M37" i="2"/>
  <c r="G37" i="2"/>
  <c r="K37" i="2"/>
  <c r="J37" i="2"/>
  <c r="P37" i="2"/>
  <c r="Q37" i="2"/>
  <c r="K30" i="5" l="1"/>
  <c r="Q30" i="5"/>
  <c r="O30" i="5"/>
  <c r="L30" i="5"/>
  <c r="R30" i="5"/>
  <c r="N30" i="5"/>
  <c r="P30" i="5"/>
  <c r="I30" i="5"/>
  <c r="M30" i="5"/>
  <c r="G30" i="5"/>
  <c r="L38" i="2"/>
  <c r="K38" i="2"/>
  <c r="P38" i="2"/>
  <c r="R38" i="2"/>
  <c r="H38" i="2"/>
  <c r="J38" i="2"/>
  <c r="Q38" i="2"/>
  <c r="I38" i="2"/>
  <c r="G38" i="2"/>
  <c r="O38" i="2"/>
  <c r="N38" i="2"/>
  <c r="M38" i="2"/>
  <c r="K31" i="5" l="1"/>
  <c r="N31" i="5"/>
  <c r="R31" i="5"/>
  <c r="L31" i="5"/>
  <c r="G31" i="5"/>
  <c r="Q31" i="5"/>
  <c r="I31" i="5"/>
  <c r="O31" i="5"/>
  <c r="M31" i="5"/>
  <c r="P31" i="5"/>
  <c r="J39" i="2"/>
  <c r="R39" i="2"/>
  <c r="L39" i="2"/>
  <c r="H39" i="2"/>
  <c r="K39" i="2"/>
  <c r="M39" i="2"/>
  <c r="O39" i="2"/>
  <c r="G39" i="2"/>
  <c r="I39" i="2"/>
  <c r="N39" i="2"/>
  <c r="P39" i="2"/>
  <c r="Q39" i="2"/>
  <c r="K32" i="5" l="1"/>
  <c r="M32" i="5"/>
  <c r="N32" i="5"/>
  <c r="I32" i="5"/>
  <c r="P32" i="5"/>
  <c r="G32" i="5"/>
  <c r="O32" i="5"/>
  <c r="R32" i="5"/>
  <c r="L32" i="5"/>
  <c r="Q32" i="5"/>
  <c r="H40" i="2"/>
  <c r="I40" i="2"/>
  <c r="Q40" i="2"/>
  <c r="N40" i="2"/>
  <c r="G40" i="2"/>
  <c r="K40" i="2"/>
  <c r="J40" i="2"/>
  <c r="L40" i="2"/>
  <c r="M40" i="2"/>
  <c r="R40" i="2"/>
  <c r="O40" i="2"/>
  <c r="P40" i="2"/>
  <c r="K33" i="5" l="1"/>
  <c r="L33" i="5"/>
  <c r="M33" i="5"/>
  <c r="I33" i="5"/>
  <c r="O33" i="5"/>
  <c r="P33" i="5"/>
  <c r="R33" i="5"/>
  <c r="N33" i="5"/>
  <c r="Q33" i="5"/>
  <c r="G33" i="5"/>
  <c r="G41" i="2"/>
  <c r="K41" i="2"/>
  <c r="I41" i="2"/>
  <c r="R41" i="2"/>
  <c r="Q41" i="2"/>
  <c r="O41" i="2"/>
  <c r="J41" i="2"/>
  <c r="P41" i="2"/>
  <c r="L41" i="2"/>
  <c r="N41" i="2"/>
  <c r="M41" i="2"/>
  <c r="H41" i="2"/>
  <c r="K34" i="5" l="1"/>
  <c r="Q34" i="5"/>
  <c r="P34" i="5"/>
  <c r="I34" i="5"/>
  <c r="L34" i="5"/>
  <c r="M34" i="5"/>
  <c r="O34" i="5"/>
  <c r="G34" i="5"/>
  <c r="R34" i="5"/>
  <c r="N34" i="5"/>
  <c r="H42" i="2"/>
  <c r="R42" i="2"/>
  <c r="J42" i="2"/>
  <c r="I42" i="2"/>
  <c r="P42" i="2"/>
  <c r="M42" i="2"/>
  <c r="O42" i="2"/>
  <c r="L42" i="2"/>
  <c r="Q42" i="2"/>
  <c r="N42" i="2"/>
  <c r="K42" i="2"/>
  <c r="G42" i="2"/>
  <c r="K35" i="5" l="1"/>
  <c r="N35" i="5"/>
  <c r="M35" i="5"/>
  <c r="P35" i="5"/>
  <c r="I35" i="5"/>
  <c r="G35" i="5"/>
  <c r="L35" i="5"/>
  <c r="O35" i="5"/>
  <c r="R35" i="5"/>
  <c r="Q35" i="5"/>
  <c r="K36" i="5" l="1"/>
  <c r="Q36" i="5"/>
  <c r="O36" i="5"/>
  <c r="L36" i="5"/>
  <c r="I36" i="5"/>
  <c r="P36" i="5"/>
  <c r="R36" i="5"/>
  <c r="G36" i="5"/>
  <c r="N36" i="5"/>
  <c r="M36" i="5"/>
  <c r="K37" i="5" l="1"/>
  <c r="I37" i="5"/>
  <c r="G37" i="5"/>
  <c r="L37" i="5"/>
  <c r="M37" i="5"/>
  <c r="O37" i="5"/>
  <c r="N37" i="5"/>
  <c r="P37" i="5"/>
  <c r="R37" i="5"/>
  <c r="Q37" i="5"/>
  <c r="K38" i="5" l="1"/>
  <c r="I38" i="5"/>
  <c r="N38" i="5"/>
  <c r="M38" i="5"/>
  <c r="G38" i="5"/>
  <c r="L38" i="5"/>
  <c r="R38" i="5"/>
  <c r="Q38" i="5"/>
  <c r="P38" i="5"/>
  <c r="O38" i="5"/>
  <c r="K39" i="5" l="1"/>
  <c r="R39" i="5"/>
  <c r="L39" i="5"/>
  <c r="P39" i="5"/>
  <c r="N39" i="5"/>
  <c r="O39" i="5"/>
  <c r="G39" i="5"/>
  <c r="I39" i="5"/>
  <c r="M39" i="5"/>
  <c r="Q39" i="5"/>
  <c r="K40" i="5" l="1"/>
  <c r="G40" i="5"/>
  <c r="L40" i="5"/>
  <c r="O40" i="5"/>
  <c r="M40" i="5"/>
  <c r="P40" i="5"/>
  <c r="Q40" i="5"/>
  <c r="I40" i="5"/>
  <c r="N40" i="5"/>
  <c r="R40" i="5"/>
  <c r="K41" i="5" l="1"/>
  <c r="G41" i="5"/>
  <c r="I41" i="5"/>
  <c r="M41" i="5"/>
  <c r="R41" i="5"/>
  <c r="N41" i="5"/>
  <c r="L41" i="5"/>
  <c r="O41" i="5"/>
  <c r="Q41" i="5"/>
  <c r="P41" i="5"/>
  <c r="K42" i="5" l="1"/>
  <c r="M42" i="5"/>
  <c r="I42" i="5"/>
  <c r="G42" i="5"/>
  <c r="R42" i="5"/>
  <c r="P42" i="5"/>
  <c r="L42" i="5"/>
  <c r="Q42" i="5"/>
  <c r="N42" i="5"/>
  <c r="O42" i="5"/>
</calcChain>
</file>

<file path=xl/sharedStrings.xml><?xml version="1.0" encoding="utf-8"?>
<sst xmlns="http://schemas.openxmlformats.org/spreadsheetml/2006/main" count="55" uniqueCount="21">
  <si>
    <t>Vigueur Initiale</t>
  </si>
  <si>
    <t>Agilité Initiale</t>
  </si>
  <si>
    <t>Joueur 1:</t>
  </si>
  <si>
    <t>Joueur 2:</t>
  </si>
  <si>
    <t>Vérification</t>
  </si>
  <si>
    <t>Simulation</t>
  </si>
  <si>
    <t>Agilité Aléatoire</t>
  </si>
  <si>
    <t>Agilité Ajustée</t>
  </si>
  <si>
    <t>Agilité Aléatoire J1</t>
  </si>
  <si>
    <t>Agilité Ajustée J1</t>
  </si>
  <si>
    <t>Agilité Aléatoire J2</t>
  </si>
  <si>
    <t>Agilité Ajustée J2</t>
  </si>
  <si>
    <t>Impact Combat J1</t>
  </si>
  <si>
    <t>Impact Combat J2</t>
  </si>
  <si>
    <t>Résultat</t>
  </si>
  <si>
    <t>Vigueur J1</t>
  </si>
  <si>
    <t>Vigueur J2</t>
  </si>
  <si>
    <t>Tour</t>
  </si>
  <si>
    <t>État</t>
  </si>
  <si>
    <t>diff impact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</si>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</sst>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2" x14ac:knownFonts="1">
    <font>
      <sz val="11"/>
      <color theme="1"/>
      <name val="Aptos Narrow"/>
      <family val="2"/>
      <scheme val="minor"/>
    </font>
    <font>
      <sz val="14"/>
      <color theme="1"/>
      <name val="Consolas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/>
    <xf numFmtId="0" fontId="0" fillId="0" borderId="5" xfId="0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164" fontId="0" fillId="0" borderId="0" xfId="0" applyNumberFormat="1"/>
    <xf numFmtId="0" fontId="0" fillId="0" borderId="8" xfId="0" applyBorder="1"/>
    <xf numFmtId="0" fontId="0" fillId="0" borderId="0" xfId="0" applyAlignment="1">
      <alignment horizontal="right"/>
    </xf>
    <xf numFmtId="0" fontId="0" fillId="0" borderId="5" xfId="0" applyBorder="1" applyAlignment="1">
      <alignment horizontal="righ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596900</xdr:colOff>
      <xdr:row>5</xdr:row>
      <xdr:rowOff>0</xdr:rowOff>
    </xdr:from>
    <xdr:to>
      <xdr:col>5</xdr:col>
      <xdr:colOff>0</xdr:colOff>
      <xdr:row>8</xdr:row>
      <xdr:rowOff>25400</xdr:rowOff>
    </xdr:to>
    <xdr:sp macro="" textlink="">
      <xdr:nvSpPr>
        <xdr:cNvPr id="2104" name="CommandButton1" hidden="1">
          <a:extLst>
            <a:ext uri="{63B3BB69-23CF-44E3-9099-C40C66FF867C}">
              <a14:compatExt xmlns:a14="http://schemas.microsoft.com/office/drawing/2010/main" spid="_x0000_s2104"/>
            </a:ext>
            <a:ext uri="{FF2B5EF4-FFF2-40B4-BE49-F238E27FC236}">
              <a16:creationId xmlns:a16="http://schemas.microsoft.com/office/drawing/2014/main" id="{00000000-0008-0000-01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358140</xdr:colOff>
      <xdr:row>5</xdr:row>
      <xdr:rowOff>0</xdr:rowOff>
    </xdr:from>
    <xdr:to>
      <xdr:col>5</xdr:col>
      <xdr:colOff>0</xdr:colOff>
      <xdr:row>8</xdr:row>
      <xdr:rowOff>15240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427A316F-4E14-FA36-E601-A4BFB641CE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" y="929640"/>
          <a:ext cx="3177540" cy="5638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EEA9B-35BF-4F97-85B3-5B889FCFA99B}">
  <sheetPr codeName="Sheet1"/>
  <dimension ref="A1"/>
  <sheetViews>
    <sheetView zoomScale="115" zoomScaleNormal="115" workbookViewId="0">
      <selection activeCell="B2" sqref="B2"/>
    </sheetView>
  </sheetViews>
  <sheetFormatPr defaultColWidth="9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2B71-3379-4B14-BC6E-0E9F60949344}">
  <sheetPr codeName="Sheet2"/>
  <dimension ref="B1:S42"/>
  <sheetViews>
    <sheetView tabSelected="1" zoomScaleNormal="115" workbookViewId="0">
      <selection activeCell="F13" sqref="F13"/>
    </sheetView>
  </sheetViews>
  <sheetFormatPr defaultColWidth="8.77734375" defaultRowHeight="14.4" x14ac:dyDescent="0.3"/>
  <cols>
    <col min="1" max="1" width="8.77734375" style="14"/>
    <col min="2" max="2" width="9.44140625" style="14" customWidth="1"/>
    <col min="3" max="3" width="12.44140625" style="14" customWidth="1"/>
    <col min="4" max="4" width="11.77734375" style="14" customWidth="1"/>
    <col min="5" max="5" width="9.109375" style="14" customWidth="1"/>
    <col min="6" max="7" width="8.77734375" style="14"/>
    <col min="8" max="8" width="16.44140625" style="14" customWidth="1"/>
    <col min="9" max="9" width="14.109375" style="14" customWidth="1"/>
    <col min="10" max="10" width="15.6640625" style="14" customWidth="1"/>
    <col min="11" max="11" width="14.77734375" style="14" customWidth="1"/>
    <col min="12" max="12" width="15.6640625" style="14" customWidth="1"/>
    <col min="13" max="13" width="15.109375" style="14" customWidth="1"/>
    <col min="14" max="14" width="11.44140625" style="14" customWidth="1"/>
    <col min="15" max="15" width="11.6640625" style="14" customWidth="1"/>
    <col min="16" max="16" width="9.6640625" style="14" customWidth="1"/>
    <col min="17" max="18" width="8.77734375" style="14"/>
    <col min="19" max="19" width="10" style="14" customWidth="1"/>
    <col min="20" max="16384" width="8.77734375" style="14"/>
  </cols>
  <sheetData>
    <row r="1" spans="2:19" ht="15" thickBot="1" x14ac:dyDescent="0.35">
      <c r="E1" s="14" t="s">
        <v>20</v>
      </c>
    </row>
    <row r="2" spans="2:19" x14ac:dyDescent="0.3">
      <c r="B2" s="2"/>
      <c r="C2" s="3" t="s">
        <v>0</v>
      </c>
      <c r="D2" s="3" t="s">
        <v>1</v>
      </c>
      <c r="E2" s="4" t="s">
        <v>4</v>
      </c>
      <c r="G2" s="10" t="s">
        <v>5</v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2"/>
    </row>
    <row r="3" spans="2:19" x14ac:dyDescent="0.3">
      <c r="B3" s="5" t="s">
        <v>2</v>
      </c>
      <c r="C3" s="14">
        <v>78.930000000000007</v>
      </c>
      <c r="D3">
        <f>90-C3</f>
        <v>11.069999999999993</v>
      </c>
      <c r="E3" s="6" t="str">
        <f>IF(C3+D3=90, "OK", "Erreur : Doit être 90")</f>
        <v>OK</v>
      </c>
      <c r="G3" s="5" t="s">
        <v>17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19</v>
      </c>
      <c r="O3" t="s">
        <v>14</v>
      </c>
      <c r="P3" t="s">
        <v>15</v>
      </c>
      <c r="Q3" t="s">
        <v>16</v>
      </c>
      <c r="R3" s="13" t="s">
        <v>18</v>
      </c>
      <c r="S3"/>
    </row>
    <row r="4" spans="2:19" ht="15" thickBot="1" x14ac:dyDescent="0.35">
      <c r="B4" s="7" t="s">
        <v>3</v>
      </c>
      <c r="C4" s="15">
        <v>78.19</v>
      </c>
      <c r="D4" s="8">
        <f>90-C4</f>
        <v>11.810000000000002</v>
      </c>
      <c r="E4" s="9" t="str">
        <f>IF(C4+D4=90, "OK", "Erreur : Doit être 90")</f>
        <v>OK</v>
      </c>
      <c r="G4" s="5">
        <f>IF(AND(E3 = "OK", E4 = "OK"), 1, "")</f>
        <v>1</v>
      </c>
      <c r="H4" s="16">
        <f ca="1">IF(AND(E3 = "OK", E4 = "OK"), _xlfn.NORM.INV(RAND(), 40, 25), "")</f>
        <v>39.731594636864287</v>
      </c>
      <c r="I4">
        <f ca="1">IF(AND(E3 = "OK", E4 = "OK"), AVERAGE(H4, D3), "")</f>
        <v>25.40079731843214</v>
      </c>
      <c r="J4">
        <f ca="1">IF(AND(E3 = "OK", E4 = "OK"), _xlfn.NORM.INV(RAND(), 40, 25), "")</f>
        <v>53.956486251617306</v>
      </c>
      <c r="K4">
        <f ca="1">IF(AND(E3 = "OK", E4 = "OK"), AVERAGE(J4,D4), "")</f>
        <v>32.883243125808654</v>
      </c>
      <c r="L4">
        <f ca="1">IF(AND(E3 = "OK", E4 = "OK"), (C3 * 0.7) + (I4 * 0.4), "")</f>
        <v>65.411318927372861</v>
      </c>
      <c r="M4">
        <f ca="1">IF(AND(E3 = "OK", E4 = "OK"), (C4 * 0.7) + (K4 * 0.4), "")</f>
        <v>67.886297250323452</v>
      </c>
      <c r="N4">
        <f ca="1">IF(AND(E3 = "OK", E4 = "OK"), ABS(L4-M4), "")</f>
        <v>2.4749783229505908</v>
      </c>
      <c r="O4" t="str">
        <f ca="1">IF(AND(E3 = "OK", E4 = "OK"), IF(L4&gt;M4, "J1", "J2"), "")</f>
        <v>J2</v>
      </c>
      <c r="P4">
        <f ca="1">IF(AND(E3 = "OK", E4 = "OK"), IF(L4&gt;M4, C3 + ABS(L4-M4), C3 - ABS(L4-M4)), "")</f>
        <v>76.455021677049416</v>
      </c>
      <c r="Q4">
        <f ca="1">IF(AND(E3 = "OK", E4 = "OK"), IF(L4&lt;M4, C4 + ABS(L4-M4), C4 - ABS(L4-M4)), "")</f>
        <v>80.664978322950589</v>
      </c>
      <c r="R4" s="13" t="str">
        <f ca="1">IF(AND(E3 = "OK", E4 = "OK"), IF(OR(P4&lt;=0, Q4&lt;=0), "Arret", "Continuer"), "Erreur")</f>
        <v>Continuer</v>
      </c>
      <c r="S4"/>
    </row>
    <row r="5" spans="2:19" x14ac:dyDescent="0.3">
      <c r="G5" s="5">
        <f t="shared" ref="G5:G42" ca="1" si="0">IF(R4 = "Continuer", G4+1, "")</f>
        <v>2</v>
      </c>
      <c r="H5">
        <f ca="1">IF(R4 = "Continuer", _xlfn.NORM.INV(RAND(), 40, 25), "")</f>
        <v>24.912380119551937</v>
      </c>
      <c r="I5">
        <f ca="1">IF(R4 = "Continuer", AVERAGE(H5,I4), "")</f>
        <v>25.15658871899204</v>
      </c>
      <c r="J5">
        <f ca="1">IF(R4 = "Continuer", _xlfn.NORM.INV(RAND(), 40, 25), "")</f>
        <v>54.480287582123339</v>
      </c>
      <c r="K5">
        <f ca="1">IF(R4 = "Continuer", AVERAGE(J5,K4), "")</f>
        <v>43.681765353966</v>
      </c>
      <c r="L5">
        <f t="shared" ref="L5:L42" ca="1" si="1">IF(R4 = "Continuer", (P4 * 0.7) + (I5 * 0.4), "")</f>
        <v>63.581150661531403</v>
      </c>
      <c r="M5">
        <f t="shared" ref="M5:M42" ca="1" si="2">IF(R4 = "Continuer", (Q4 * 0.7) + (K5 * 0.4), "")</f>
        <v>73.938190967651806</v>
      </c>
      <c r="N5">
        <f ca="1">IF(R4 = "Continuer", ABS(L5-M5), "")</f>
        <v>10.357040306120403</v>
      </c>
      <c r="O5" t="str">
        <f t="shared" ref="O5:O42" ca="1" si="3">IF(R4 = "Continuer", IF(L5&gt;M5, "J1", "J2"), "")</f>
        <v>J2</v>
      </c>
      <c r="P5">
        <f ca="1">IF(R4 = "Continuer", IF(L5&gt;M5, P4 + ABS(L5-M5), P4 - ABS(L5-M5)), "")</f>
        <v>66.097981370929006</v>
      </c>
      <c r="Q5">
        <f ca="1">IF(R4 = "Continuer", IF(L5&lt;M5, Q4 + ABS(L5-M5), Q4 - ABS(L5-M5)), "")</f>
        <v>91.022018629070999</v>
      </c>
      <c r="R5" s="13" t="str">
        <f ca="1">IF(R4 = "Continuer", IF(OR(P5&lt;=0, Q5&lt;=0), "Arret", "Continuer"), "")</f>
        <v>Continuer</v>
      </c>
      <c r="S5"/>
    </row>
    <row r="6" spans="2:19" x14ac:dyDescent="0.3">
      <c r="G6" s="5">
        <f t="shared" ca="1" si="0"/>
        <v>3</v>
      </c>
      <c r="H6">
        <f t="shared" ref="H6:H36" ca="1" si="4">IF(R5 = "Continuer", _xlfn.NORM.INV(RAND(), 40, 25), "")</f>
        <v>19.275479898112806</v>
      </c>
      <c r="I6">
        <f t="shared" ref="I6:I42" ca="1" si="5">IF(R5 = "Continuer", AVERAGE(H6,I5), "")</f>
        <v>22.216034308552423</v>
      </c>
      <c r="J6">
        <f t="shared" ref="J6:J36" ca="1" si="6">IF(R5 = "Continuer", _xlfn.NORM.INV(RAND(), 40, 25), "")</f>
        <v>41.079154417446489</v>
      </c>
      <c r="K6">
        <f t="shared" ref="K6:K41" ca="1" si="7">IF(R5 = "Continuer", AVERAGE(J6,K5), "")</f>
        <v>42.380459885706244</v>
      </c>
      <c r="L6">
        <f t="shared" ca="1" si="1"/>
        <v>55.155000683071272</v>
      </c>
      <c r="M6">
        <f t="shared" ca="1" si="2"/>
        <v>80.667596994632191</v>
      </c>
      <c r="N6">
        <f t="shared" ref="N6:N42" ca="1" si="8">IF(R5 = "Continuer", ABS(L6-M6), "")</f>
        <v>25.51259631156092</v>
      </c>
      <c r="O6" t="str">
        <f t="shared" ca="1" si="3"/>
        <v>J2</v>
      </c>
      <c r="P6">
        <f t="shared" ref="P6:P42" ca="1" si="9">IF(R5 = "Continuer", IF(L6&gt;M6, P5 + ABS(L6-M6), P5 - ABS(L6-M6)), "")</f>
        <v>40.585385059368086</v>
      </c>
      <c r="Q6">
        <f t="shared" ref="Q6:Q42" ca="1" si="10">IF(R5 = "Continuer", IF(L6&lt;M6, Q5 + ABS(L6-M6), Q5 - ABS(L6-M6)), "")</f>
        <v>116.53461494063191</v>
      </c>
      <c r="R6" s="13" t="str">
        <f t="shared" ref="R6:R36" ca="1" si="11">IF(R5 = "Continuer", IF(OR(P6&lt;=0, Q6&lt;=0), "Arret", "Continuer"), "")</f>
        <v>Continuer</v>
      </c>
      <c r="S6"/>
    </row>
    <row r="7" spans="2:19" x14ac:dyDescent="0.3">
      <c r="G7" s="5">
        <f t="shared" ca="1" si="0"/>
        <v>4</v>
      </c>
      <c r="H7">
        <f t="shared" ca="1" si="4"/>
        <v>66.766595753336318</v>
      </c>
      <c r="I7">
        <f t="shared" ca="1" si="5"/>
        <v>44.491315030944371</v>
      </c>
      <c r="J7">
        <f t="shared" ca="1" si="6"/>
        <v>37.905363753490278</v>
      </c>
      <c r="K7">
        <f t="shared" ca="1" si="7"/>
        <v>40.142911819598261</v>
      </c>
      <c r="L7">
        <f t="shared" ca="1" si="1"/>
        <v>46.206295553935405</v>
      </c>
      <c r="M7">
        <f t="shared" ca="1" si="2"/>
        <v>97.631395186281637</v>
      </c>
      <c r="N7">
        <f t="shared" ca="1" si="8"/>
        <v>51.425099632346232</v>
      </c>
      <c r="O7" t="str">
        <f t="shared" ca="1" si="3"/>
        <v>J2</v>
      </c>
      <c r="P7">
        <f t="shared" ca="1" si="9"/>
        <v>-10.839714572978146</v>
      </c>
      <c r="Q7">
        <f t="shared" ca="1" si="10"/>
        <v>167.95971457297816</v>
      </c>
      <c r="R7" s="13" t="str">
        <f t="shared" ca="1" si="11"/>
        <v>Arret</v>
      </c>
      <c r="S7"/>
    </row>
    <row r="8" spans="2:19" x14ac:dyDescent="0.3">
      <c r="G8" s="5" t="str">
        <f t="shared" ca="1" si="0"/>
        <v/>
      </c>
      <c r="H8" t="str">
        <f t="shared" ca="1" si="4"/>
        <v/>
      </c>
      <c r="I8" t="str">
        <f t="shared" ca="1" si="5"/>
        <v/>
      </c>
      <c r="J8" t="str">
        <f t="shared" ca="1" si="6"/>
        <v/>
      </c>
      <c r="K8" t="str">
        <f t="shared" ca="1" si="7"/>
        <v/>
      </c>
      <c r="L8" t="str">
        <f t="shared" ca="1" si="1"/>
        <v/>
      </c>
      <c r="M8" t="str">
        <f t="shared" ca="1" si="2"/>
        <v/>
      </c>
      <c r="N8" t="str">
        <f t="shared" ca="1" si="8"/>
        <v/>
      </c>
      <c r="O8" t="str">
        <f t="shared" ca="1" si="3"/>
        <v/>
      </c>
      <c r="P8" t="str">
        <f t="shared" ca="1" si="9"/>
        <v/>
      </c>
      <c r="Q8" t="str">
        <f t="shared" ca="1" si="10"/>
        <v/>
      </c>
      <c r="R8" s="13" t="str">
        <f t="shared" ca="1" si="11"/>
        <v/>
      </c>
      <c r="S8"/>
    </row>
    <row r="9" spans="2:19" x14ac:dyDescent="0.3">
      <c r="G9" s="5" t="str">
        <f t="shared" ca="1" si="0"/>
        <v/>
      </c>
      <c r="H9" t="str">
        <f t="shared" ca="1" si="4"/>
        <v/>
      </c>
      <c r="I9" t="str">
        <f t="shared" ca="1" si="5"/>
        <v/>
      </c>
      <c r="J9" t="str">
        <f t="shared" ca="1" si="6"/>
        <v/>
      </c>
      <c r="K9" t="str">
        <f t="shared" ca="1" si="7"/>
        <v/>
      </c>
      <c r="L9" t="str">
        <f t="shared" ca="1" si="1"/>
        <v/>
      </c>
      <c r="M9" t="str">
        <f t="shared" ca="1" si="2"/>
        <v/>
      </c>
      <c r="N9" t="str">
        <f t="shared" ca="1" si="8"/>
        <v/>
      </c>
      <c r="O9" t="str">
        <f t="shared" ca="1" si="3"/>
        <v/>
      </c>
      <c r="P9" t="str">
        <f t="shared" ca="1" si="9"/>
        <v/>
      </c>
      <c r="Q9" t="str">
        <f t="shared" ca="1" si="10"/>
        <v/>
      </c>
      <c r="R9" s="13" t="str">
        <f t="shared" ca="1" si="11"/>
        <v/>
      </c>
      <c r="S9"/>
    </row>
    <row r="10" spans="2:19" x14ac:dyDescent="0.3">
      <c r="G10" s="5" t="str">
        <f t="shared" ca="1" si="0"/>
        <v/>
      </c>
      <c r="H10" t="str">
        <f t="shared" ca="1" si="4"/>
        <v/>
      </c>
      <c r="I10" t="str">
        <f t="shared" ca="1" si="5"/>
        <v/>
      </c>
      <c r="J10" t="str">
        <f t="shared" ca="1" si="6"/>
        <v/>
      </c>
      <c r="K10" t="str">
        <f t="shared" ca="1" si="7"/>
        <v/>
      </c>
      <c r="L10" t="str">
        <f t="shared" ca="1" si="1"/>
        <v/>
      </c>
      <c r="M10" t="str">
        <f t="shared" ca="1" si="2"/>
        <v/>
      </c>
      <c r="N10" t="str">
        <f t="shared" ca="1" si="8"/>
        <v/>
      </c>
      <c r="O10" t="str">
        <f t="shared" ca="1" si="3"/>
        <v/>
      </c>
      <c r="P10" t="str">
        <f t="shared" ca="1" si="9"/>
        <v/>
      </c>
      <c r="Q10" t="str">
        <f t="shared" ca="1" si="10"/>
        <v/>
      </c>
      <c r="R10" s="13" t="str">
        <f t="shared" ca="1" si="11"/>
        <v/>
      </c>
      <c r="S10"/>
    </row>
    <row r="11" spans="2:19" x14ac:dyDescent="0.3">
      <c r="G11" s="5" t="str">
        <f t="shared" ca="1" si="0"/>
        <v/>
      </c>
      <c r="H11" t="str">
        <f t="shared" ca="1" si="4"/>
        <v/>
      </c>
      <c r="I11" t="str">
        <f t="shared" ca="1" si="5"/>
        <v/>
      </c>
      <c r="J11" t="str">
        <f t="shared" ca="1" si="6"/>
        <v/>
      </c>
      <c r="K11" t="str">
        <f t="shared" ca="1" si="7"/>
        <v/>
      </c>
      <c r="L11" t="str">
        <f t="shared" ca="1" si="1"/>
        <v/>
      </c>
      <c r="M11" t="str">
        <f t="shared" ca="1" si="2"/>
        <v/>
      </c>
      <c r="N11" t="str">
        <f t="shared" ca="1" si="8"/>
        <v/>
      </c>
      <c r="O11" t="str">
        <f t="shared" ca="1" si="3"/>
        <v/>
      </c>
      <c r="P11" t="str">
        <f t="shared" ca="1" si="9"/>
        <v/>
      </c>
      <c r="Q11" t="str">
        <f t="shared" ca="1" si="10"/>
        <v/>
      </c>
      <c r="R11" s="13" t="str">
        <f t="shared" ca="1" si="11"/>
        <v/>
      </c>
      <c r="S11"/>
    </row>
    <row r="12" spans="2:19" x14ac:dyDescent="0.3">
      <c r="G12" s="5" t="str">
        <f t="shared" ca="1" si="0"/>
        <v/>
      </c>
      <c r="H12" t="str">
        <f t="shared" ca="1" si="4"/>
        <v/>
      </c>
      <c r="I12" t="str">
        <f t="shared" ca="1" si="5"/>
        <v/>
      </c>
      <c r="J12" t="str">
        <f t="shared" ca="1" si="6"/>
        <v/>
      </c>
      <c r="K12" t="str">
        <f t="shared" ca="1" si="7"/>
        <v/>
      </c>
      <c r="L12" t="str">
        <f t="shared" ca="1" si="1"/>
        <v/>
      </c>
      <c r="M12" t="str">
        <f t="shared" ca="1" si="2"/>
        <v/>
      </c>
      <c r="N12" t="str">
        <f t="shared" ca="1" si="8"/>
        <v/>
      </c>
      <c r="O12" t="str">
        <f t="shared" ca="1" si="3"/>
        <v/>
      </c>
      <c r="P12" t="str">
        <f t="shared" ca="1" si="9"/>
        <v/>
      </c>
      <c r="Q12" t="str">
        <f t="shared" ca="1" si="10"/>
        <v/>
      </c>
      <c r="R12" s="13" t="str">
        <f t="shared" ca="1" si="11"/>
        <v/>
      </c>
      <c r="S12"/>
    </row>
    <row r="13" spans="2:19" x14ac:dyDescent="0.3">
      <c r="G13" s="5" t="str">
        <f t="shared" ca="1" si="0"/>
        <v/>
      </c>
      <c r="H13" t="str">
        <f t="shared" ca="1" si="4"/>
        <v/>
      </c>
      <c r="I13" t="str">
        <f t="shared" ca="1" si="5"/>
        <v/>
      </c>
      <c r="J13" t="str">
        <f t="shared" ca="1" si="6"/>
        <v/>
      </c>
      <c r="K13" t="str">
        <f t="shared" ca="1" si="7"/>
        <v/>
      </c>
      <c r="L13" t="str">
        <f t="shared" ca="1" si="1"/>
        <v/>
      </c>
      <c r="M13" t="str">
        <f t="shared" ca="1" si="2"/>
        <v/>
      </c>
      <c r="N13" t="str">
        <f t="shared" ca="1" si="8"/>
        <v/>
      </c>
      <c r="O13" t="str">
        <f t="shared" ca="1" si="3"/>
        <v/>
      </c>
      <c r="P13" t="str">
        <f t="shared" ca="1" si="9"/>
        <v/>
      </c>
      <c r="Q13" t="str">
        <f t="shared" ca="1" si="10"/>
        <v/>
      </c>
      <c r="R13" s="13" t="str">
        <f t="shared" ca="1" si="11"/>
        <v/>
      </c>
      <c r="S13"/>
    </row>
    <row r="14" spans="2:19" x14ac:dyDescent="0.3">
      <c r="G14" s="5" t="str">
        <f t="shared" ca="1" si="0"/>
        <v/>
      </c>
      <c r="H14" t="str">
        <f t="shared" ca="1" si="4"/>
        <v/>
      </c>
      <c r="I14" t="str">
        <f t="shared" ca="1" si="5"/>
        <v/>
      </c>
      <c r="J14" t="str">
        <f t="shared" ca="1" si="6"/>
        <v/>
      </c>
      <c r="K14" t="str">
        <f t="shared" ca="1" si="7"/>
        <v/>
      </c>
      <c r="L14" t="str">
        <f t="shared" ca="1" si="1"/>
        <v/>
      </c>
      <c r="M14" t="str">
        <f t="shared" ca="1" si="2"/>
        <v/>
      </c>
      <c r="N14" t="str">
        <f t="shared" ca="1" si="8"/>
        <v/>
      </c>
      <c r="O14" t="str">
        <f t="shared" ca="1" si="3"/>
        <v/>
      </c>
      <c r="P14" t="str">
        <f t="shared" ca="1" si="9"/>
        <v/>
      </c>
      <c r="Q14" t="str">
        <f t="shared" ca="1" si="10"/>
        <v/>
      </c>
      <c r="R14" s="13" t="str">
        <f t="shared" ca="1" si="11"/>
        <v/>
      </c>
      <c r="S14"/>
    </row>
    <row r="15" spans="2:19" x14ac:dyDescent="0.3">
      <c r="G15" s="5" t="str">
        <f t="shared" ca="1" si="0"/>
        <v/>
      </c>
      <c r="H15" t="str">
        <f t="shared" ca="1" si="4"/>
        <v/>
      </c>
      <c r="I15" t="str">
        <f t="shared" ca="1" si="5"/>
        <v/>
      </c>
      <c r="J15" t="str">
        <f t="shared" ca="1" si="6"/>
        <v/>
      </c>
      <c r="K15" t="str">
        <f t="shared" ca="1" si="7"/>
        <v/>
      </c>
      <c r="L15" t="str">
        <f t="shared" ca="1" si="1"/>
        <v/>
      </c>
      <c r="M15" t="str">
        <f t="shared" ca="1" si="2"/>
        <v/>
      </c>
      <c r="N15" t="str">
        <f t="shared" ca="1" si="8"/>
        <v/>
      </c>
      <c r="O15" t="str">
        <f t="shared" ca="1" si="3"/>
        <v/>
      </c>
      <c r="P15" t="str">
        <f t="shared" ca="1" si="9"/>
        <v/>
      </c>
      <c r="Q15" t="str">
        <f t="shared" ca="1" si="10"/>
        <v/>
      </c>
      <c r="R15" s="13" t="str">
        <f t="shared" ca="1" si="11"/>
        <v/>
      </c>
      <c r="S15"/>
    </row>
    <row r="16" spans="2:19" x14ac:dyDescent="0.3">
      <c r="G16" s="5" t="str">
        <f t="shared" ca="1" si="0"/>
        <v/>
      </c>
      <c r="H16" t="str">
        <f t="shared" ca="1" si="4"/>
        <v/>
      </c>
      <c r="I16" t="str">
        <f t="shared" ca="1" si="5"/>
        <v/>
      </c>
      <c r="J16" t="str">
        <f t="shared" ca="1" si="6"/>
        <v/>
      </c>
      <c r="K16" t="str">
        <f t="shared" ca="1" si="7"/>
        <v/>
      </c>
      <c r="L16" t="str">
        <f t="shared" ca="1" si="1"/>
        <v/>
      </c>
      <c r="M16" t="str">
        <f t="shared" ca="1" si="2"/>
        <v/>
      </c>
      <c r="N16" t="str">
        <f t="shared" ca="1" si="8"/>
        <v/>
      </c>
      <c r="O16" t="str">
        <f t="shared" ca="1" si="3"/>
        <v/>
      </c>
      <c r="P16" t="str">
        <f t="shared" ca="1" si="9"/>
        <v/>
      </c>
      <c r="Q16" t="str">
        <f t="shared" ca="1" si="10"/>
        <v/>
      </c>
      <c r="R16" s="13" t="str">
        <f t="shared" ca="1" si="11"/>
        <v/>
      </c>
      <c r="S16"/>
    </row>
    <row r="17" spans="7:19" x14ac:dyDescent="0.3">
      <c r="G17" s="5" t="str">
        <f t="shared" ca="1" si="0"/>
        <v/>
      </c>
      <c r="H17" t="str">
        <f t="shared" ca="1" si="4"/>
        <v/>
      </c>
      <c r="I17" t="str">
        <f t="shared" ca="1" si="5"/>
        <v/>
      </c>
      <c r="J17" t="str">
        <f t="shared" ca="1" si="6"/>
        <v/>
      </c>
      <c r="K17" t="str">
        <f t="shared" ca="1" si="7"/>
        <v/>
      </c>
      <c r="L17" t="str">
        <f t="shared" ca="1" si="1"/>
        <v/>
      </c>
      <c r="M17" t="str">
        <f t="shared" ca="1" si="2"/>
        <v/>
      </c>
      <c r="N17" t="str">
        <f t="shared" ca="1" si="8"/>
        <v/>
      </c>
      <c r="O17" t="str">
        <f t="shared" ca="1" si="3"/>
        <v/>
      </c>
      <c r="P17" t="str">
        <f t="shared" ca="1" si="9"/>
        <v/>
      </c>
      <c r="Q17" t="str">
        <f t="shared" ca="1" si="10"/>
        <v/>
      </c>
      <c r="R17" s="13" t="str">
        <f t="shared" ca="1" si="11"/>
        <v/>
      </c>
      <c r="S17"/>
    </row>
    <row r="18" spans="7:19" x14ac:dyDescent="0.3">
      <c r="G18" s="5" t="str">
        <f t="shared" ca="1" si="0"/>
        <v/>
      </c>
      <c r="H18" t="str">
        <f t="shared" ca="1" si="4"/>
        <v/>
      </c>
      <c r="I18" t="str">
        <f t="shared" ca="1" si="5"/>
        <v/>
      </c>
      <c r="J18" t="str">
        <f t="shared" ca="1" si="6"/>
        <v/>
      </c>
      <c r="K18" t="str">
        <f t="shared" ca="1" si="7"/>
        <v/>
      </c>
      <c r="L18" t="str">
        <f t="shared" ca="1" si="1"/>
        <v/>
      </c>
      <c r="M18" t="str">
        <f t="shared" ca="1" si="2"/>
        <v/>
      </c>
      <c r="N18" t="str">
        <f t="shared" ca="1" si="8"/>
        <v/>
      </c>
      <c r="O18" t="str">
        <f t="shared" ca="1" si="3"/>
        <v/>
      </c>
      <c r="P18" t="str">
        <f t="shared" ca="1" si="9"/>
        <v/>
      </c>
      <c r="Q18" t="str">
        <f t="shared" ca="1" si="10"/>
        <v/>
      </c>
      <c r="R18" s="13" t="str">
        <f t="shared" ca="1" si="11"/>
        <v/>
      </c>
      <c r="S18"/>
    </row>
    <row r="19" spans="7:19" x14ac:dyDescent="0.3">
      <c r="G19" s="5" t="str">
        <f t="shared" ca="1" si="0"/>
        <v/>
      </c>
      <c r="H19" t="str">
        <f t="shared" ca="1" si="4"/>
        <v/>
      </c>
      <c r="I19" t="str">
        <f t="shared" ca="1" si="5"/>
        <v/>
      </c>
      <c r="J19" t="str">
        <f t="shared" ca="1" si="6"/>
        <v/>
      </c>
      <c r="K19" t="str">
        <f t="shared" ca="1" si="7"/>
        <v/>
      </c>
      <c r="L19" t="str">
        <f t="shared" ca="1" si="1"/>
        <v/>
      </c>
      <c r="M19" t="str">
        <f t="shared" ca="1" si="2"/>
        <v/>
      </c>
      <c r="N19" t="str">
        <f t="shared" ca="1" si="8"/>
        <v/>
      </c>
      <c r="O19" t="str">
        <f t="shared" ca="1" si="3"/>
        <v/>
      </c>
      <c r="P19" t="str">
        <f t="shared" ca="1" si="9"/>
        <v/>
      </c>
      <c r="Q19" t="str">
        <f t="shared" ca="1" si="10"/>
        <v/>
      </c>
      <c r="R19" s="13" t="str">
        <f t="shared" ca="1" si="11"/>
        <v/>
      </c>
      <c r="S19"/>
    </row>
    <row r="20" spans="7:19" x14ac:dyDescent="0.3">
      <c r="G20" s="5" t="str">
        <f t="shared" ca="1" si="0"/>
        <v/>
      </c>
      <c r="H20" t="str">
        <f t="shared" ca="1" si="4"/>
        <v/>
      </c>
      <c r="I20" t="str">
        <f t="shared" ca="1" si="5"/>
        <v/>
      </c>
      <c r="J20" t="str">
        <f t="shared" ca="1" si="6"/>
        <v/>
      </c>
      <c r="K20" t="str">
        <f t="shared" ca="1" si="7"/>
        <v/>
      </c>
      <c r="L20" t="str">
        <f t="shared" ca="1" si="1"/>
        <v/>
      </c>
      <c r="M20" t="str">
        <f t="shared" ca="1" si="2"/>
        <v/>
      </c>
      <c r="N20" t="str">
        <f t="shared" ca="1" si="8"/>
        <v/>
      </c>
      <c r="O20" t="str">
        <f t="shared" ca="1" si="3"/>
        <v/>
      </c>
      <c r="P20" t="str">
        <f t="shared" ca="1" si="9"/>
        <v/>
      </c>
      <c r="Q20" t="str">
        <f t="shared" ca="1" si="10"/>
        <v/>
      </c>
      <c r="R20" s="13" t="str">
        <f t="shared" ca="1" si="11"/>
        <v/>
      </c>
      <c r="S20"/>
    </row>
    <row r="21" spans="7:19" x14ac:dyDescent="0.3">
      <c r="G21" s="5" t="str">
        <f t="shared" ca="1" si="0"/>
        <v/>
      </c>
      <c r="H21" t="str">
        <f t="shared" ca="1" si="4"/>
        <v/>
      </c>
      <c r="I21" t="str">
        <f t="shared" ca="1" si="5"/>
        <v/>
      </c>
      <c r="J21" t="str">
        <f t="shared" ca="1" si="6"/>
        <v/>
      </c>
      <c r="K21" t="str">
        <f t="shared" ca="1" si="7"/>
        <v/>
      </c>
      <c r="L21" t="str">
        <f t="shared" ca="1" si="1"/>
        <v/>
      </c>
      <c r="M21" t="str">
        <f t="shared" ca="1" si="2"/>
        <v/>
      </c>
      <c r="N21" t="str">
        <f t="shared" ca="1" si="8"/>
        <v/>
      </c>
      <c r="O21" t="str">
        <f t="shared" ca="1" si="3"/>
        <v/>
      </c>
      <c r="P21" t="str">
        <f t="shared" ca="1" si="9"/>
        <v/>
      </c>
      <c r="Q21" t="str">
        <f t="shared" ca="1" si="10"/>
        <v/>
      </c>
      <c r="R21" s="13" t="str">
        <f t="shared" ca="1" si="11"/>
        <v/>
      </c>
      <c r="S21"/>
    </row>
    <row r="22" spans="7:19" x14ac:dyDescent="0.3">
      <c r="G22" s="5" t="str">
        <f t="shared" ca="1" si="0"/>
        <v/>
      </c>
      <c r="H22" t="str">
        <f t="shared" ca="1" si="4"/>
        <v/>
      </c>
      <c r="I22" t="str">
        <f t="shared" ca="1" si="5"/>
        <v/>
      </c>
      <c r="J22" t="str">
        <f t="shared" ca="1" si="6"/>
        <v/>
      </c>
      <c r="K22" t="str">
        <f t="shared" ca="1" si="7"/>
        <v/>
      </c>
      <c r="L22" t="str">
        <f t="shared" ca="1" si="1"/>
        <v/>
      </c>
      <c r="M22" t="str">
        <f t="shared" ca="1" si="2"/>
        <v/>
      </c>
      <c r="N22" t="str">
        <f t="shared" ca="1" si="8"/>
        <v/>
      </c>
      <c r="O22" t="str">
        <f t="shared" ca="1" si="3"/>
        <v/>
      </c>
      <c r="P22" t="str">
        <f t="shared" ca="1" si="9"/>
        <v/>
      </c>
      <c r="Q22" t="str">
        <f t="shared" ca="1" si="10"/>
        <v/>
      </c>
      <c r="R22" s="13" t="str">
        <f t="shared" ca="1" si="11"/>
        <v/>
      </c>
      <c r="S22"/>
    </row>
    <row r="23" spans="7:19" x14ac:dyDescent="0.3">
      <c r="G23" s="5" t="str">
        <f t="shared" ca="1" si="0"/>
        <v/>
      </c>
      <c r="H23" t="str">
        <f t="shared" ca="1" si="4"/>
        <v/>
      </c>
      <c r="I23" t="str">
        <f t="shared" ca="1" si="5"/>
        <v/>
      </c>
      <c r="J23" t="str">
        <f t="shared" ca="1" si="6"/>
        <v/>
      </c>
      <c r="K23" t="str">
        <f t="shared" ca="1" si="7"/>
        <v/>
      </c>
      <c r="L23" t="str">
        <f t="shared" ca="1" si="1"/>
        <v/>
      </c>
      <c r="M23" t="str">
        <f t="shared" ca="1" si="2"/>
        <v/>
      </c>
      <c r="N23" t="str">
        <f t="shared" ca="1" si="8"/>
        <v/>
      </c>
      <c r="O23" t="str">
        <f t="shared" ca="1" si="3"/>
        <v/>
      </c>
      <c r="P23" t="str">
        <f t="shared" ca="1" si="9"/>
        <v/>
      </c>
      <c r="Q23" t="str">
        <f t="shared" ca="1" si="10"/>
        <v/>
      </c>
      <c r="R23" s="13" t="str">
        <f t="shared" ca="1" si="11"/>
        <v/>
      </c>
      <c r="S23"/>
    </row>
    <row r="24" spans="7:19" x14ac:dyDescent="0.3">
      <c r="G24" s="5" t="str">
        <f t="shared" ca="1" si="0"/>
        <v/>
      </c>
      <c r="H24" t="str">
        <f t="shared" ca="1" si="4"/>
        <v/>
      </c>
      <c r="I24" t="str">
        <f t="shared" ca="1" si="5"/>
        <v/>
      </c>
      <c r="J24" t="str">
        <f t="shared" ca="1" si="6"/>
        <v/>
      </c>
      <c r="K24" t="str">
        <f t="shared" ca="1" si="7"/>
        <v/>
      </c>
      <c r="L24" t="str">
        <f t="shared" ca="1" si="1"/>
        <v/>
      </c>
      <c r="M24" t="str">
        <f t="shared" ca="1" si="2"/>
        <v/>
      </c>
      <c r="N24" t="str">
        <f t="shared" ca="1" si="8"/>
        <v/>
      </c>
      <c r="O24" t="str">
        <f t="shared" ca="1" si="3"/>
        <v/>
      </c>
      <c r="P24" t="str">
        <f t="shared" ca="1" si="9"/>
        <v/>
      </c>
      <c r="Q24" t="str">
        <f t="shared" ca="1" si="10"/>
        <v/>
      </c>
      <c r="R24" s="13" t="str">
        <f t="shared" ca="1" si="11"/>
        <v/>
      </c>
      <c r="S24"/>
    </row>
    <row r="25" spans="7:19" x14ac:dyDescent="0.3">
      <c r="G25" s="5" t="str">
        <f t="shared" ca="1" si="0"/>
        <v/>
      </c>
      <c r="H25" t="str">
        <f t="shared" ca="1" si="4"/>
        <v/>
      </c>
      <c r="I25" t="str">
        <f t="shared" ca="1" si="5"/>
        <v/>
      </c>
      <c r="J25" t="str">
        <f t="shared" ca="1" si="6"/>
        <v/>
      </c>
      <c r="K25" t="str">
        <f t="shared" ca="1" si="7"/>
        <v/>
      </c>
      <c r="L25" t="str">
        <f t="shared" ca="1" si="1"/>
        <v/>
      </c>
      <c r="M25" t="str">
        <f t="shared" ca="1" si="2"/>
        <v/>
      </c>
      <c r="N25" t="str">
        <f t="shared" ca="1" si="8"/>
        <v/>
      </c>
      <c r="O25" t="str">
        <f t="shared" ca="1" si="3"/>
        <v/>
      </c>
      <c r="P25" t="str">
        <f t="shared" ca="1" si="9"/>
        <v/>
      </c>
      <c r="Q25" t="str">
        <f t="shared" ca="1" si="10"/>
        <v/>
      </c>
      <c r="R25" s="13" t="str">
        <f t="shared" ca="1" si="11"/>
        <v/>
      </c>
      <c r="S25"/>
    </row>
    <row r="26" spans="7:19" x14ac:dyDescent="0.3">
      <c r="G26" s="5" t="str">
        <f t="shared" ca="1" si="0"/>
        <v/>
      </c>
      <c r="H26" t="str">
        <f t="shared" ca="1" si="4"/>
        <v/>
      </c>
      <c r="I26" t="str">
        <f t="shared" ca="1" si="5"/>
        <v/>
      </c>
      <c r="J26" t="str">
        <f t="shared" ca="1" si="6"/>
        <v/>
      </c>
      <c r="K26" t="str">
        <f t="shared" ca="1" si="7"/>
        <v/>
      </c>
      <c r="L26" t="str">
        <f t="shared" ca="1" si="1"/>
        <v/>
      </c>
      <c r="M26" t="str">
        <f t="shared" ca="1" si="2"/>
        <v/>
      </c>
      <c r="N26" t="str">
        <f t="shared" ca="1" si="8"/>
        <v/>
      </c>
      <c r="O26" t="str">
        <f t="shared" ca="1" si="3"/>
        <v/>
      </c>
      <c r="P26" t="str">
        <f t="shared" ca="1" si="9"/>
        <v/>
      </c>
      <c r="Q26" t="str">
        <f t="shared" ca="1" si="10"/>
        <v/>
      </c>
      <c r="R26" s="13" t="str">
        <f t="shared" ca="1" si="11"/>
        <v/>
      </c>
      <c r="S26"/>
    </row>
    <row r="27" spans="7:19" x14ac:dyDescent="0.3">
      <c r="G27" s="5" t="str">
        <f t="shared" ca="1" si="0"/>
        <v/>
      </c>
      <c r="H27" t="str">
        <f t="shared" ca="1" si="4"/>
        <v/>
      </c>
      <c r="I27" t="str">
        <f t="shared" ca="1" si="5"/>
        <v/>
      </c>
      <c r="J27" t="str">
        <f t="shared" ca="1" si="6"/>
        <v/>
      </c>
      <c r="K27" t="str">
        <f t="shared" ca="1" si="7"/>
        <v/>
      </c>
      <c r="L27" t="str">
        <f t="shared" ca="1" si="1"/>
        <v/>
      </c>
      <c r="M27" t="str">
        <f t="shared" ca="1" si="2"/>
        <v/>
      </c>
      <c r="N27" t="str">
        <f t="shared" ca="1" si="8"/>
        <v/>
      </c>
      <c r="O27" t="str">
        <f t="shared" ca="1" si="3"/>
        <v/>
      </c>
      <c r="P27" t="str">
        <f t="shared" ca="1" si="9"/>
        <v/>
      </c>
      <c r="Q27" t="str">
        <f t="shared" ca="1" si="10"/>
        <v/>
      </c>
      <c r="R27" s="13" t="str">
        <f t="shared" ca="1" si="11"/>
        <v/>
      </c>
      <c r="S27"/>
    </row>
    <row r="28" spans="7:19" x14ac:dyDescent="0.3">
      <c r="G28" s="5" t="str">
        <f t="shared" ca="1" si="0"/>
        <v/>
      </c>
      <c r="H28" t="str">
        <f t="shared" ca="1" si="4"/>
        <v/>
      </c>
      <c r="I28" t="str">
        <f t="shared" ca="1" si="5"/>
        <v/>
      </c>
      <c r="J28" t="str">
        <f t="shared" ca="1" si="6"/>
        <v/>
      </c>
      <c r="K28" t="str">
        <f t="shared" ca="1" si="7"/>
        <v/>
      </c>
      <c r="L28" t="str">
        <f t="shared" ca="1" si="1"/>
        <v/>
      </c>
      <c r="M28" t="str">
        <f t="shared" ca="1" si="2"/>
        <v/>
      </c>
      <c r="N28" t="str">
        <f t="shared" ca="1" si="8"/>
        <v/>
      </c>
      <c r="O28" t="str">
        <f t="shared" ca="1" si="3"/>
        <v/>
      </c>
      <c r="P28" t="str">
        <f t="shared" ca="1" si="9"/>
        <v/>
      </c>
      <c r="Q28" t="str">
        <f t="shared" ca="1" si="10"/>
        <v/>
      </c>
      <c r="R28" s="13" t="str">
        <f t="shared" ca="1" si="11"/>
        <v/>
      </c>
      <c r="S28"/>
    </row>
    <row r="29" spans="7:19" x14ac:dyDescent="0.3">
      <c r="G29" s="5" t="str">
        <f t="shared" ca="1" si="0"/>
        <v/>
      </c>
      <c r="H29" t="str">
        <f t="shared" ca="1" si="4"/>
        <v/>
      </c>
      <c r="I29" t="str">
        <f t="shared" ca="1" si="5"/>
        <v/>
      </c>
      <c r="J29" t="str">
        <f t="shared" ca="1" si="6"/>
        <v/>
      </c>
      <c r="K29" t="str">
        <f t="shared" ca="1" si="7"/>
        <v/>
      </c>
      <c r="L29" t="str">
        <f t="shared" ca="1" si="1"/>
        <v/>
      </c>
      <c r="M29" t="str">
        <f t="shared" ca="1" si="2"/>
        <v/>
      </c>
      <c r="N29" t="str">
        <f t="shared" ca="1" si="8"/>
        <v/>
      </c>
      <c r="O29" t="str">
        <f t="shared" ca="1" si="3"/>
        <v/>
      </c>
      <c r="P29" t="str">
        <f t="shared" ca="1" si="9"/>
        <v/>
      </c>
      <c r="Q29" t="str">
        <f t="shared" ca="1" si="10"/>
        <v/>
      </c>
      <c r="R29" s="13" t="str">
        <f t="shared" ca="1" si="11"/>
        <v/>
      </c>
      <c r="S29"/>
    </row>
    <row r="30" spans="7:19" x14ac:dyDescent="0.3">
      <c r="G30" s="5" t="str">
        <f t="shared" ca="1" si="0"/>
        <v/>
      </c>
      <c r="H30" t="str">
        <f t="shared" ca="1" si="4"/>
        <v/>
      </c>
      <c r="I30" t="str">
        <f t="shared" ca="1" si="5"/>
        <v/>
      </c>
      <c r="J30" t="str">
        <f t="shared" ca="1" si="6"/>
        <v/>
      </c>
      <c r="K30" t="str">
        <f t="shared" ca="1" si="7"/>
        <v/>
      </c>
      <c r="L30" t="str">
        <f t="shared" ca="1" si="1"/>
        <v/>
      </c>
      <c r="M30" t="str">
        <f t="shared" ca="1" si="2"/>
        <v/>
      </c>
      <c r="N30" t="str">
        <f t="shared" ca="1" si="8"/>
        <v/>
      </c>
      <c r="O30" t="str">
        <f t="shared" ca="1" si="3"/>
        <v/>
      </c>
      <c r="P30" t="str">
        <f t="shared" ca="1" si="9"/>
        <v/>
      </c>
      <c r="Q30" t="str">
        <f t="shared" ca="1" si="10"/>
        <v/>
      </c>
      <c r="R30" s="13" t="str">
        <f t="shared" ca="1" si="11"/>
        <v/>
      </c>
      <c r="S30"/>
    </row>
    <row r="31" spans="7:19" x14ac:dyDescent="0.3">
      <c r="G31" s="5" t="str">
        <f t="shared" ca="1" si="0"/>
        <v/>
      </c>
      <c r="H31" t="str">
        <f t="shared" ca="1" si="4"/>
        <v/>
      </c>
      <c r="I31" t="str">
        <f t="shared" ca="1" si="5"/>
        <v/>
      </c>
      <c r="J31" t="str">
        <f t="shared" ca="1" si="6"/>
        <v/>
      </c>
      <c r="K31" t="str">
        <f t="shared" ca="1" si="7"/>
        <v/>
      </c>
      <c r="L31" t="str">
        <f t="shared" ca="1" si="1"/>
        <v/>
      </c>
      <c r="M31" t="str">
        <f t="shared" ca="1" si="2"/>
        <v/>
      </c>
      <c r="N31" t="str">
        <f t="shared" ca="1" si="8"/>
        <v/>
      </c>
      <c r="O31" t="str">
        <f t="shared" ca="1" si="3"/>
        <v/>
      </c>
      <c r="P31" t="str">
        <f t="shared" ca="1" si="9"/>
        <v/>
      </c>
      <c r="Q31" t="str">
        <f t="shared" ca="1" si="10"/>
        <v/>
      </c>
      <c r="R31" s="13" t="str">
        <f t="shared" ca="1" si="11"/>
        <v/>
      </c>
      <c r="S31"/>
    </row>
    <row r="32" spans="7:19" x14ac:dyDescent="0.3">
      <c r="G32" s="5" t="str">
        <f t="shared" ca="1" si="0"/>
        <v/>
      </c>
      <c r="H32" t="str">
        <f t="shared" ca="1" si="4"/>
        <v/>
      </c>
      <c r="I32" t="str">
        <f t="shared" ca="1" si="5"/>
        <v/>
      </c>
      <c r="J32" t="str">
        <f t="shared" ca="1" si="6"/>
        <v/>
      </c>
      <c r="K32" t="str">
        <f t="shared" ca="1" si="7"/>
        <v/>
      </c>
      <c r="L32" t="str">
        <f t="shared" ca="1" si="1"/>
        <v/>
      </c>
      <c r="M32" t="str">
        <f t="shared" ca="1" si="2"/>
        <v/>
      </c>
      <c r="N32" t="str">
        <f t="shared" ca="1" si="8"/>
        <v/>
      </c>
      <c r="O32" t="str">
        <f t="shared" ca="1" si="3"/>
        <v/>
      </c>
      <c r="P32" t="str">
        <f t="shared" ca="1" si="9"/>
        <v/>
      </c>
      <c r="Q32" t="str">
        <f t="shared" ca="1" si="10"/>
        <v/>
      </c>
      <c r="R32" s="13" t="str">
        <f t="shared" ca="1" si="11"/>
        <v/>
      </c>
      <c r="S32"/>
    </row>
    <row r="33" spans="7:19" x14ac:dyDescent="0.3">
      <c r="G33" s="5" t="str">
        <f t="shared" ca="1" si="0"/>
        <v/>
      </c>
      <c r="H33" t="str">
        <f t="shared" ca="1" si="4"/>
        <v/>
      </c>
      <c r="I33" t="str">
        <f t="shared" ca="1" si="5"/>
        <v/>
      </c>
      <c r="J33" t="str">
        <f t="shared" ca="1" si="6"/>
        <v/>
      </c>
      <c r="K33" t="str">
        <f t="shared" ca="1" si="7"/>
        <v/>
      </c>
      <c r="L33" t="str">
        <f t="shared" ca="1" si="1"/>
        <v/>
      </c>
      <c r="M33" t="str">
        <f t="shared" ca="1" si="2"/>
        <v/>
      </c>
      <c r="N33" t="str">
        <f t="shared" ca="1" si="8"/>
        <v/>
      </c>
      <c r="O33" t="str">
        <f t="shared" ca="1" si="3"/>
        <v/>
      </c>
      <c r="P33" t="str">
        <f t="shared" ca="1" si="9"/>
        <v/>
      </c>
      <c r="Q33" t="str">
        <f t="shared" ca="1" si="10"/>
        <v/>
      </c>
      <c r="R33" s="13" t="str">
        <f t="shared" ca="1" si="11"/>
        <v/>
      </c>
      <c r="S33"/>
    </row>
    <row r="34" spans="7:19" x14ac:dyDescent="0.3">
      <c r="G34" s="5" t="str">
        <f t="shared" ca="1" si="0"/>
        <v/>
      </c>
      <c r="H34" t="str">
        <f t="shared" ca="1" si="4"/>
        <v/>
      </c>
      <c r="I34" t="str">
        <f t="shared" ca="1" si="5"/>
        <v/>
      </c>
      <c r="J34" t="str">
        <f t="shared" ca="1" si="6"/>
        <v/>
      </c>
      <c r="K34" t="str">
        <f t="shared" ca="1" si="7"/>
        <v/>
      </c>
      <c r="L34" t="str">
        <f t="shared" ca="1" si="1"/>
        <v/>
      </c>
      <c r="M34" t="str">
        <f t="shared" ca="1" si="2"/>
        <v/>
      </c>
      <c r="N34" t="str">
        <f t="shared" ca="1" si="8"/>
        <v/>
      </c>
      <c r="O34" t="str">
        <f t="shared" ca="1" si="3"/>
        <v/>
      </c>
      <c r="P34" t="str">
        <f t="shared" ca="1" si="9"/>
        <v/>
      </c>
      <c r="Q34" t="str">
        <f t="shared" ca="1" si="10"/>
        <v/>
      </c>
      <c r="R34" s="13" t="str">
        <f t="shared" ca="1" si="11"/>
        <v/>
      </c>
      <c r="S34"/>
    </row>
    <row r="35" spans="7:19" x14ac:dyDescent="0.3">
      <c r="G35" s="5" t="str">
        <f t="shared" ca="1" si="0"/>
        <v/>
      </c>
      <c r="H35" t="str">
        <f t="shared" ca="1" si="4"/>
        <v/>
      </c>
      <c r="I35" t="str">
        <f t="shared" ca="1" si="5"/>
        <v/>
      </c>
      <c r="J35" t="str">
        <f t="shared" ca="1" si="6"/>
        <v/>
      </c>
      <c r="K35" t="str">
        <f t="shared" ca="1" si="7"/>
        <v/>
      </c>
      <c r="L35" t="str">
        <f t="shared" ca="1" si="1"/>
        <v/>
      </c>
      <c r="M35" t="str">
        <f t="shared" ca="1" si="2"/>
        <v/>
      </c>
      <c r="N35" t="str">
        <f t="shared" ca="1" si="8"/>
        <v/>
      </c>
      <c r="O35" t="str">
        <f t="shared" ca="1" si="3"/>
        <v/>
      </c>
      <c r="P35" t="str">
        <f t="shared" ca="1" si="9"/>
        <v/>
      </c>
      <c r="Q35" t="str">
        <f t="shared" ca="1" si="10"/>
        <v/>
      </c>
      <c r="R35" s="13" t="str">
        <f t="shared" ca="1" si="11"/>
        <v/>
      </c>
      <c r="S35"/>
    </row>
    <row r="36" spans="7:19" x14ac:dyDescent="0.3">
      <c r="G36" s="5" t="str">
        <f t="shared" ca="1" si="0"/>
        <v/>
      </c>
      <c r="H36" t="str">
        <f t="shared" ca="1" si="4"/>
        <v/>
      </c>
      <c r="I36" t="str">
        <f t="shared" ca="1" si="5"/>
        <v/>
      </c>
      <c r="J36" t="str">
        <f t="shared" ca="1" si="6"/>
        <v/>
      </c>
      <c r="K36" t="str">
        <f t="shared" ca="1" si="7"/>
        <v/>
      </c>
      <c r="L36" t="str">
        <f t="shared" ca="1" si="1"/>
        <v/>
      </c>
      <c r="M36" t="str">
        <f t="shared" ca="1" si="2"/>
        <v/>
      </c>
      <c r="N36" t="str">
        <f t="shared" ca="1" si="8"/>
        <v/>
      </c>
      <c r="O36" t="str">
        <f t="shared" ca="1" si="3"/>
        <v/>
      </c>
      <c r="P36" t="str">
        <f t="shared" ca="1" si="9"/>
        <v/>
      </c>
      <c r="Q36" t="str">
        <f t="shared" ca="1" si="10"/>
        <v/>
      </c>
      <c r="R36" s="13" t="str">
        <f t="shared" ca="1" si="11"/>
        <v/>
      </c>
      <c r="S36"/>
    </row>
    <row r="37" spans="7:19" x14ac:dyDescent="0.3">
      <c r="G37" s="5" t="str">
        <f t="shared" ca="1" si="0"/>
        <v/>
      </c>
      <c r="H37" t="str">
        <f t="shared" ref="H37:H42" ca="1" si="12">IF(R36 = "Continuer", _xlfn.NORM.INV(RAND(), 40, 25), "")</f>
        <v/>
      </c>
      <c r="I37" t="str">
        <f t="shared" ca="1" si="5"/>
        <v/>
      </c>
      <c r="J37" t="str">
        <f t="shared" ref="J37:J42" ca="1" si="13">IF(R36 = "Continuer", _xlfn.NORM.INV(RAND(), 40, 25), "")</f>
        <v/>
      </c>
      <c r="K37" t="str">
        <f t="shared" ca="1" si="7"/>
        <v/>
      </c>
      <c r="L37" t="str">
        <f t="shared" ca="1" si="1"/>
        <v/>
      </c>
      <c r="M37" t="str">
        <f t="shared" ca="1" si="2"/>
        <v/>
      </c>
      <c r="N37" t="str">
        <f t="shared" ca="1" si="8"/>
        <v/>
      </c>
      <c r="O37" t="str">
        <f t="shared" ca="1" si="3"/>
        <v/>
      </c>
      <c r="P37" t="str">
        <f t="shared" ca="1" si="9"/>
        <v/>
      </c>
      <c r="Q37" t="str">
        <f t="shared" ca="1" si="10"/>
        <v/>
      </c>
      <c r="R37" s="13" t="str">
        <f t="shared" ref="R37:R42" ca="1" si="14">IF(R36 = "Continuer", IF(OR(P37&lt;=0, Q37&lt;=0), "Arret", "Continuer"), "")</f>
        <v/>
      </c>
      <c r="S37"/>
    </row>
    <row r="38" spans="7:19" x14ac:dyDescent="0.3">
      <c r="G38" s="5" t="str">
        <f t="shared" ca="1" si="0"/>
        <v/>
      </c>
      <c r="H38" t="str">
        <f t="shared" ca="1" si="12"/>
        <v/>
      </c>
      <c r="I38" t="str">
        <f t="shared" ca="1" si="5"/>
        <v/>
      </c>
      <c r="J38" t="str">
        <f t="shared" ca="1" si="13"/>
        <v/>
      </c>
      <c r="K38" t="str">
        <f t="shared" ca="1" si="7"/>
        <v/>
      </c>
      <c r="L38" t="str">
        <f t="shared" ca="1" si="1"/>
        <v/>
      </c>
      <c r="M38" t="str">
        <f t="shared" ca="1" si="2"/>
        <v/>
      </c>
      <c r="N38" t="str">
        <f t="shared" ca="1" si="8"/>
        <v/>
      </c>
      <c r="O38" t="str">
        <f t="shared" ca="1" si="3"/>
        <v/>
      </c>
      <c r="P38" t="str">
        <f t="shared" ca="1" si="9"/>
        <v/>
      </c>
      <c r="Q38" t="str">
        <f t="shared" ca="1" si="10"/>
        <v/>
      </c>
      <c r="R38" s="13" t="str">
        <f t="shared" ca="1" si="14"/>
        <v/>
      </c>
      <c r="S38"/>
    </row>
    <row r="39" spans="7:19" x14ac:dyDescent="0.3">
      <c r="G39" s="5" t="str">
        <f t="shared" ca="1" si="0"/>
        <v/>
      </c>
      <c r="H39" t="str">
        <f t="shared" ca="1" si="12"/>
        <v/>
      </c>
      <c r="I39" t="str">
        <f t="shared" ca="1" si="5"/>
        <v/>
      </c>
      <c r="J39" t="str">
        <f t="shared" ca="1" si="13"/>
        <v/>
      </c>
      <c r="K39" t="str">
        <f t="shared" ca="1" si="7"/>
        <v/>
      </c>
      <c r="L39" t="str">
        <f t="shared" ca="1" si="1"/>
        <v/>
      </c>
      <c r="M39" t="str">
        <f t="shared" ca="1" si="2"/>
        <v/>
      </c>
      <c r="N39" t="str">
        <f t="shared" ca="1" si="8"/>
        <v/>
      </c>
      <c r="O39" t="str">
        <f t="shared" ca="1" si="3"/>
        <v/>
      </c>
      <c r="P39" t="str">
        <f t="shared" ca="1" si="9"/>
        <v/>
      </c>
      <c r="Q39" t="str">
        <f t="shared" ca="1" si="10"/>
        <v/>
      </c>
      <c r="R39" s="13" t="str">
        <f t="shared" ca="1" si="14"/>
        <v/>
      </c>
      <c r="S39"/>
    </row>
    <row r="40" spans="7:19" x14ac:dyDescent="0.3">
      <c r="G40" s="5" t="str">
        <f t="shared" ca="1" si="0"/>
        <v/>
      </c>
      <c r="H40" t="str">
        <f t="shared" ca="1" si="12"/>
        <v/>
      </c>
      <c r="I40" t="str">
        <f t="shared" ca="1" si="5"/>
        <v/>
      </c>
      <c r="J40" t="str">
        <f t="shared" ca="1" si="13"/>
        <v/>
      </c>
      <c r="K40" t="str">
        <f t="shared" ca="1" si="7"/>
        <v/>
      </c>
      <c r="L40" t="str">
        <f t="shared" ca="1" si="1"/>
        <v/>
      </c>
      <c r="M40" t="str">
        <f t="shared" ca="1" si="2"/>
        <v/>
      </c>
      <c r="N40" t="str">
        <f t="shared" ca="1" si="8"/>
        <v/>
      </c>
      <c r="O40" t="str">
        <f t="shared" ca="1" si="3"/>
        <v/>
      </c>
      <c r="P40" t="str">
        <f t="shared" ca="1" si="9"/>
        <v/>
      </c>
      <c r="Q40" t="str">
        <f t="shared" ca="1" si="10"/>
        <v/>
      </c>
      <c r="R40" s="13" t="str">
        <f t="shared" ca="1" si="14"/>
        <v/>
      </c>
      <c r="S40"/>
    </row>
    <row r="41" spans="7:19" x14ac:dyDescent="0.3">
      <c r="G41" s="5" t="str">
        <f t="shared" ca="1" si="0"/>
        <v/>
      </c>
      <c r="H41" t="str">
        <f t="shared" ca="1" si="12"/>
        <v/>
      </c>
      <c r="I41" t="str">
        <f t="shared" ca="1" si="5"/>
        <v/>
      </c>
      <c r="J41" t="str">
        <f t="shared" ca="1" si="13"/>
        <v/>
      </c>
      <c r="K41" t="str">
        <f t="shared" ca="1" si="7"/>
        <v/>
      </c>
      <c r="L41" t="str">
        <f t="shared" ca="1" si="1"/>
        <v/>
      </c>
      <c r="M41" t="str">
        <f t="shared" ca="1" si="2"/>
        <v/>
      </c>
      <c r="N41" t="str">
        <f t="shared" ca="1" si="8"/>
        <v/>
      </c>
      <c r="O41" t="str">
        <f t="shared" ca="1" si="3"/>
        <v/>
      </c>
      <c r="P41" t="str">
        <f t="shared" ca="1" si="9"/>
        <v/>
      </c>
      <c r="Q41" t="str">
        <f t="shared" ca="1" si="10"/>
        <v/>
      </c>
      <c r="R41" s="13" t="str">
        <f t="shared" ca="1" si="14"/>
        <v/>
      </c>
      <c r="S41"/>
    </row>
    <row r="42" spans="7:19" ht="15" thickBot="1" x14ac:dyDescent="0.35">
      <c r="G42" s="7" t="str">
        <f t="shared" ca="1" si="0"/>
        <v/>
      </c>
      <c r="H42" s="8" t="str">
        <f t="shared" ca="1" si="12"/>
        <v/>
      </c>
      <c r="I42" s="8" t="str">
        <f t="shared" ca="1" si="5"/>
        <v/>
      </c>
      <c r="J42" s="8" t="str">
        <f t="shared" ca="1" si="13"/>
        <v/>
      </c>
      <c r="K42" s="8" t="str">
        <f ca="1">IF(R41 = "Continuer", AVERAGE(J42,K41), "")</f>
        <v/>
      </c>
      <c r="L42" s="8" t="str">
        <f t="shared" ca="1" si="1"/>
        <v/>
      </c>
      <c r="M42" s="8" t="str">
        <f t="shared" ca="1" si="2"/>
        <v/>
      </c>
      <c r="N42" s="8" t="str">
        <f t="shared" ca="1" si="8"/>
        <v/>
      </c>
      <c r="O42" s="8" t="str">
        <f t="shared" ca="1" si="3"/>
        <v/>
      </c>
      <c r="P42" s="8" t="str">
        <f t="shared" ca="1" si="9"/>
        <v/>
      </c>
      <c r="Q42" s="8" t="str">
        <f t="shared" ca="1" si="10"/>
        <v/>
      </c>
      <c r="R42" s="17" t="str">
        <f t="shared" ca="1" si="14"/>
        <v/>
      </c>
      <c r="S4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2A6F-883D-374A-BDA5-A5FE1A93D92E}">
  <dimension ref="A1:S383"/>
  <sheetViews>
    <sheetView workbookViewId="0">
      <selection activeCell="F38" sqref="F38"/>
    </sheetView>
  </sheetViews>
  <sheetFormatPr defaultColWidth="11.5546875" defaultRowHeight="14.4" x14ac:dyDescent="0.3"/>
  <cols>
    <col min="6" max="6" width="13.33203125" customWidth="1"/>
    <col min="8" max="8" width="11.6640625" bestFit="1" customWidth="1"/>
  </cols>
  <sheetData>
    <row r="1" spans="1:19" ht="15" thickBot="1" x14ac:dyDescent="0.35">
      <c r="A1" s="14"/>
      <c r="B1" s="14"/>
      <c r="C1" s="14"/>
      <c r="D1" s="14"/>
      <c r="E1" s="14" t="s">
        <v>20</v>
      </c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3">
      <c r="A2" s="14"/>
      <c r="B2" s="2"/>
      <c r="C2" s="3" t="s">
        <v>0</v>
      </c>
      <c r="D2" s="3" t="s">
        <v>1</v>
      </c>
      <c r="E2" s="4" t="s">
        <v>4</v>
      </c>
      <c r="F2" s="14"/>
      <c r="G2" s="10" t="s">
        <v>5</v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2"/>
      <c r="S2" s="14"/>
    </row>
    <row r="3" spans="1:19" x14ac:dyDescent="0.3">
      <c r="A3" s="14"/>
      <c r="B3" s="5" t="s">
        <v>2</v>
      </c>
      <c r="C3" s="14">
        <v>75.89</v>
      </c>
      <c r="D3">
        <f>90-C3</f>
        <v>14.11</v>
      </c>
      <c r="E3" s="6" t="str">
        <f>IF(C3+D3=90, "OK", "Erreur : Doit être 90")</f>
        <v>OK</v>
      </c>
      <c r="F3" s="14"/>
      <c r="G3" s="5" t="s">
        <v>17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19</v>
      </c>
      <c r="O3" t="s">
        <v>14</v>
      </c>
      <c r="P3" t="s">
        <v>15</v>
      </c>
      <c r="Q3" t="s">
        <v>16</v>
      </c>
      <c r="R3" s="13" t="s">
        <v>18</v>
      </c>
    </row>
    <row r="4" spans="1:19" ht="15" thickBot="1" x14ac:dyDescent="0.35">
      <c r="A4" s="14"/>
      <c r="B4" s="7" t="s">
        <v>3</v>
      </c>
      <c r="C4" s="15">
        <v>71.790000000000006</v>
      </c>
      <c r="D4" s="8">
        <f>90-C4</f>
        <v>18.209999999999994</v>
      </c>
      <c r="E4" s="9" t="str">
        <f>IF(C4+D4=90, "OK", "Erreur : Doit être 90")</f>
        <v>OK</v>
      </c>
      <c r="F4" s="14"/>
      <c r="G4" s="5">
        <f>IF(AND(E3 = "OK", E4 = "OK"), 1, "")</f>
        <v>1</v>
      </c>
      <c r="H4" s="16">
        <v>63.156857227871498</v>
      </c>
      <c r="I4">
        <f>IF(AND(E3 = "OK", E4 = "OK"), AVERAGE(H4, D3), "")</f>
        <v>38.633428613935749</v>
      </c>
      <c r="J4">
        <v>91.016409749386796</v>
      </c>
      <c r="K4">
        <f>IF(AND(E3 = "OK", E4 = "OK"), AVERAGE(J4,D4), "")</f>
        <v>54.613204874693395</v>
      </c>
      <c r="L4">
        <f>IF(AND(E3 = "OK", E4 = "OK"), (C3 * 0.7) + (I4 * 0.4), "")</f>
        <v>68.576371445574296</v>
      </c>
      <c r="M4">
        <f>IF(AND(E3 = "OK", E4 = "OK"), (C4 * 0.7) + (K4 * 0.4), "")</f>
        <v>72.098281949877361</v>
      </c>
      <c r="N4">
        <f>IF(AND(E3 = "OK", E4 = "OK"), ABS(L4-M4), "")</f>
        <v>3.5219105043030652</v>
      </c>
      <c r="O4" t="str">
        <f>IF(AND(E3 = "OK", E4 = "OK"), IF(L4&gt;M4, "J1", "J2"), "")</f>
        <v>J2</v>
      </c>
      <c r="P4">
        <f>IF(AND(E3 = "OK", E4 = "OK"), IF(L4&gt;M4, C3 + ABS(L4-M4), C3 - ABS(L4-M4)), "")</f>
        <v>72.368089495696935</v>
      </c>
      <c r="Q4">
        <f>IF(AND(E3 = "OK", E4 = "OK"), IF(L4&lt;M4, C4 + ABS(L4-M4), C4 - ABS(L4-M4)), "")</f>
        <v>75.311910504303071</v>
      </c>
      <c r="R4" s="13" t="str">
        <f>IF(AND(E3 = "OK", E4 = "OK"), IF(OR(P4&lt;=0, Q4&lt;=0), "Arret", "Continuer"), "Erreur")</f>
        <v>Continuer</v>
      </c>
    </row>
    <row r="5" spans="1:19" x14ac:dyDescent="0.3">
      <c r="A5" s="14"/>
      <c r="B5" s="14"/>
      <c r="C5" s="14"/>
      <c r="D5" s="14"/>
      <c r="E5" s="14"/>
      <c r="F5" s="14"/>
      <c r="G5" s="5">
        <f t="shared" ref="G5:G42" si="0">IF(R4 = "Continuer", G4+1, "")</f>
        <v>2</v>
      </c>
      <c r="H5">
        <v>69.533989751497003</v>
      </c>
      <c r="I5">
        <f>IF(R4 = "Continuer", AVERAGE(H5,I4), "")</f>
        <v>54.083709182716376</v>
      </c>
      <c r="J5">
        <v>31.426878070171199</v>
      </c>
      <c r="K5">
        <f>IF(R4 = "Continuer", AVERAGE(J5,K4), "")</f>
        <v>43.020041472432297</v>
      </c>
      <c r="L5">
        <f t="shared" ref="L5:L42" si="1">IF(R4 = "Continuer", (P4 * 0.7) + (I5 * 0.4), "")</f>
        <v>72.291146320074404</v>
      </c>
      <c r="M5">
        <f t="shared" ref="M5:M42" si="2">IF(R4 = "Continuer", (Q4 * 0.7) + (K5 * 0.4), "")</f>
        <v>69.92635394198507</v>
      </c>
      <c r="N5">
        <f>IF(R4 = "Continuer", ABS(L5-M5), "")</f>
        <v>2.3647923780893336</v>
      </c>
      <c r="O5" t="str">
        <f t="shared" ref="O5:O42" si="3">IF(R4 = "Continuer", IF(L5&gt;M5, "J1", "J2"), "")</f>
        <v>J1</v>
      </c>
      <c r="P5">
        <f>IF(R4 = "Continuer", IF(L5&gt;M5, P4 + ABS(L5-M5), P4 - ABS(L5-M5)), "")</f>
        <v>74.732881873786269</v>
      </c>
      <c r="Q5">
        <f>IF(R4 = "Continuer", IF(L5&lt;M5, Q4 + ABS(L5-M5), Q4 - ABS(L5-M5)), "")</f>
        <v>72.947118126213738</v>
      </c>
      <c r="R5" s="13" t="str">
        <f>IF(R4 = "Continuer", IF(OR(P5&lt;=0, Q5&lt;=0), "Arret", "Continuer"), "")</f>
        <v>Continuer</v>
      </c>
    </row>
    <row r="6" spans="1:19" x14ac:dyDescent="0.3">
      <c r="A6" s="14"/>
      <c r="B6" s="14"/>
      <c r="C6" s="14"/>
      <c r="D6" s="14"/>
      <c r="E6" s="14"/>
      <c r="F6" s="14"/>
      <c r="G6" s="5">
        <f t="shared" si="0"/>
        <v>3</v>
      </c>
      <c r="H6">
        <v>45.6788233352923</v>
      </c>
      <c r="I6">
        <f t="shared" ref="I6:I42" si="4">IF(R5 = "Continuer", AVERAGE(H6,I5), "")</f>
        <v>49.881266259004335</v>
      </c>
      <c r="J6">
        <v>66.954895697041906</v>
      </c>
      <c r="K6">
        <f t="shared" ref="K6:K42" si="5">IF(R5 = "Continuer", AVERAGE(J6,K5), "")</f>
        <v>54.987468584737101</v>
      </c>
      <c r="L6">
        <f t="shared" si="1"/>
        <v>72.265523815252124</v>
      </c>
      <c r="M6">
        <f t="shared" si="2"/>
        <v>73.057970122244456</v>
      </c>
      <c r="N6">
        <f t="shared" ref="N6:N42" si="6">IF(R5 = "Continuer", ABS(L6-M6), "")</f>
        <v>0.79244630699233198</v>
      </c>
      <c r="O6" t="str">
        <f t="shared" si="3"/>
        <v>J2</v>
      </c>
      <c r="P6">
        <f t="shared" ref="P6:P42" si="7">IF(R5 = "Continuer", IF(L6&gt;M6, P5 + ABS(L6-M6), P5 - ABS(L6-M6)), "")</f>
        <v>73.940435566793937</v>
      </c>
      <c r="Q6">
        <f t="shared" ref="Q6:Q42" si="8">IF(R5 = "Continuer", IF(L6&lt;M6, Q5 + ABS(L6-M6), Q5 - ABS(L6-M6)), "")</f>
        <v>73.73956443320607</v>
      </c>
      <c r="R6" s="13" t="str">
        <f t="shared" ref="R6:R42" si="9">IF(R5 = "Continuer", IF(OR(P6&lt;=0, Q6&lt;=0), "Arret", "Continuer"), "")</f>
        <v>Continuer</v>
      </c>
    </row>
    <row r="7" spans="1:19" x14ac:dyDescent="0.3">
      <c r="A7" s="14"/>
      <c r="B7" s="14"/>
      <c r="C7" s="14"/>
      <c r="D7" s="14"/>
      <c r="E7" s="14"/>
      <c r="F7" s="14"/>
      <c r="G7" s="5">
        <f t="shared" si="0"/>
        <v>4</v>
      </c>
      <c r="H7">
        <v>42.343283014080399</v>
      </c>
      <c r="I7">
        <f t="shared" si="4"/>
        <v>46.112274636542367</v>
      </c>
      <c r="J7">
        <v>52.0108937113609</v>
      </c>
      <c r="K7">
        <f t="shared" si="5"/>
        <v>53.499181148049004</v>
      </c>
      <c r="L7">
        <f t="shared" si="1"/>
        <v>70.203214751372698</v>
      </c>
      <c r="M7">
        <f t="shared" si="2"/>
        <v>73.017367562463846</v>
      </c>
      <c r="N7">
        <f t="shared" si="6"/>
        <v>2.814152811091148</v>
      </c>
      <c r="O7" t="str">
        <f t="shared" si="3"/>
        <v>J2</v>
      </c>
      <c r="P7">
        <f t="shared" si="7"/>
        <v>71.126282755702789</v>
      </c>
      <c r="Q7">
        <f t="shared" si="8"/>
        <v>76.553717244297218</v>
      </c>
      <c r="R7" s="13" t="str">
        <f t="shared" si="9"/>
        <v>Continuer</v>
      </c>
    </row>
    <row r="8" spans="1:19" x14ac:dyDescent="0.3">
      <c r="A8" s="14"/>
      <c r="B8" s="14"/>
      <c r="C8" s="14"/>
      <c r="D8" s="14"/>
      <c r="E8" s="14"/>
      <c r="F8" s="14"/>
      <c r="G8" s="5">
        <f t="shared" si="0"/>
        <v>5</v>
      </c>
      <c r="H8">
        <v>50.296222165367801</v>
      </c>
      <c r="I8">
        <f t="shared" si="4"/>
        <v>48.20424840095508</v>
      </c>
      <c r="J8">
        <v>41.600117788046497</v>
      </c>
      <c r="K8">
        <f t="shared" si="5"/>
        <v>47.549649468047747</v>
      </c>
      <c r="L8">
        <f t="shared" si="1"/>
        <v>69.07009728937399</v>
      </c>
      <c r="M8">
        <f t="shared" si="2"/>
        <v>72.607461858227154</v>
      </c>
      <c r="N8">
        <f t="shared" si="6"/>
        <v>3.5373645688531639</v>
      </c>
      <c r="O8" t="str">
        <f t="shared" si="3"/>
        <v>J2</v>
      </c>
      <c r="P8">
        <f t="shared" si="7"/>
        <v>67.588918186849625</v>
      </c>
      <c r="Q8">
        <f t="shared" si="8"/>
        <v>80.091081813150382</v>
      </c>
      <c r="R8" s="13" t="str">
        <f t="shared" si="9"/>
        <v>Continuer</v>
      </c>
    </row>
    <row r="9" spans="1:19" x14ac:dyDescent="0.3">
      <c r="A9" s="14"/>
      <c r="B9" s="14"/>
      <c r="C9" s="14"/>
      <c r="D9" s="14"/>
      <c r="E9" s="14"/>
      <c r="F9" s="14"/>
      <c r="G9" s="5">
        <f t="shared" si="0"/>
        <v>6</v>
      </c>
      <c r="H9">
        <v>46.898384884185504</v>
      </c>
      <c r="I9">
        <f t="shared" si="4"/>
        <v>47.551316642570292</v>
      </c>
      <c r="J9">
        <v>3.2026979901601198</v>
      </c>
      <c r="K9">
        <f t="shared" si="5"/>
        <v>25.376173729103932</v>
      </c>
      <c r="L9">
        <f t="shared" si="1"/>
        <v>66.33276938782285</v>
      </c>
      <c r="M9">
        <f t="shared" si="2"/>
        <v>66.214226760846827</v>
      </c>
      <c r="N9">
        <f t="shared" si="6"/>
        <v>0.1185426269760228</v>
      </c>
      <c r="O9" t="str">
        <f t="shared" si="3"/>
        <v>J1</v>
      </c>
      <c r="P9">
        <f t="shared" si="7"/>
        <v>67.707460813825648</v>
      </c>
      <c r="Q9">
        <f t="shared" si="8"/>
        <v>79.972539186174359</v>
      </c>
      <c r="R9" s="13" t="str">
        <f t="shared" si="9"/>
        <v>Continuer</v>
      </c>
    </row>
    <row r="10" spans="1:19" x14ac:dyDescent="0.3">
      <c r="A10" s="14"/>
      <c r="B10" s="14"/>
      <c r="C10" s="14"/>
      <c r="D10" s="14"/>
      <c r="E10" s="14"/>
      <c r="F10" s="14"/>
      <c r="G10" s="5">
        <f t="shared" si="0"/>
        <v>7</v>
      </c>
      <c r="H10">
        <v>38.718176370439402</v>
      </c>
      <c r="I10">
        <f t="shared" si="4"/>
        <v>43.134746506504847</v>
      </c>
      <c r="J10">
        <v>7.4760305372258804</v>
      </c>
      <c r="K10">
        <f t="shared" si="5"/>
        <v>16.426102133164907</v>
      </c>
      <c r="L10">
        <f t="shared" si="1"/>
        <v>64.649121172279891</v>
      </c>
      <c r="M10">
        <f t="shared" si="2"/>
        <v>62.551218283588014</v>
      </c>
      <c r="N10">
        <f t="shared" si="6"/>
        <v>2.0979028886918769</v>
      </c>
      <c r="O10" t="str">
        <f t="shared" si="3"/>
        <v>J1</v>
      </c>
      <c r="P10">
        <f t="shared" si="7"/>
        <v>69.805363702517525</v>
      </c>
      <c r="Q10">
        <f t="shared" si="8"/>
        <v>77.874636297482482</v>
      </c>
      <c r="R10" s="13" t="str">
        <f t="shared" si="9"/>
        <v>Continuer</v>
      </c>
    </row>
    <row r="11" spans="1:19" x14ac:dyDescent="0.3">
      <c r="A11" s="14"/>
      <c r="B11" s="14"/>
      <c r="C11" s="14"/>
      <c r="D11" s="14"/>
      <c r="E11" s="14"/>
      <c r="F11" s="14"/>
      <c r="G11" s="5">
        <f t="shared" si="0"/>
        <v>8</v>
      </c>
      <c r="H11">
        <v>49.991635720224401</v>
      </c>
      <c r="I11">
        <f t="shared" si="4"/>
        <v>46.563191113364624</v>
      </c>
      <c r="J11">
        <v>28.391967751721399</v>
      </c>
      <c r="K11">
        <f t="shared" si="5"/>
        <v>22.409034942443153</v>
      </c>
      <c r="L11">
        <f t="shared" si="1"/>
        <v>67.48903103710812</v>
      </c>
      <c r="M11">
        <f t="shared" si="2"/>
        <v>63.475859385214996</v>
      </c>
      <c r="N11">
        <f t="shared" si="6"/>
        <v>4.0131716518931242</v>
      </c>
      <c r="O11" t="str">
        <f t="shared" si="3"/>
        <v>J1</v>
      </c>
      <c r="P11">
        <f t="shared" si="7"/>
        <v>73.818535354410642</v>
      </c>
      <c r="Q11">
        <f t="shared" si="8"/>
        <v>73.861464645589365</v>
      </c>
      <c r="R11" s="13" t="str">
        <f t="shared" si="9"/>
        <v>Continuer</v>
      </c>
    </row>
    <row r="12" spans="1:19" ht="18" x14ac:dyDescent="0.35">
      <c r="A12" s="14"/>
      <c r="B12" s="14"/>
      <c r="C12" s="14"/>
      <c r="D12" s="20"/>
      <c r="E12" s="14"/>
      <c r="F12" s="14"/>
      <c r="G12" s="5">
        <f t="shared" si="0"/>
        <v>9</v>
      </c>
      <c r="H12">
        <v>0.32577343234570499</v>
      </c>
      <c r="I12">
        <f t="shared" si="4"/>
        <v>23.444482272855165</v>
      </c>
      <c r="J12">
        <v>27.338640732394602</v>
      </c>
      <c r="K12">
        <f t="shared" si="5"/>
        <v>24.873837837418876</v>
      </c>
      <c r="L12">
        <f t="shared" si="1"/>
        <v>61.050767657229514</v>
      </c>
      <c r="M12">
        <f t="shared" si="2"/>
        <v>61.652560386880097</v>
      </c>
      <c r="N12">
        <f t="shared" si="6"/>
        <v>0.60179272965058317</v>
      </c>
      <c r="O12" t="str">
        <f t="shared" si="3"/>
        <v>J2</v>
      </c>
      <c r="P12">
        <f t="shared" si="7"/>
        <v>73.216742624760059</v>
      </c>
      <c r="Q12">
        <f t="shared" si="8"/>
        <v>74.463257375239948</v>
      </c>
      <c r="R12" s="13" t="str">
        <f t="shared" si="9"/>
        <v>Continuer</v>
      </c>
    </row>
    <row r="13" spans="1:19" x14ac:dyDescent="0.3">
      <c r="A13" s="14"/>
      <c r="B13" s="14"/>
      <c r="C13" s="14"/>
      <c r="D13" s="14"/>
      <c r="E13" s="14"/>
      <c r="F13" s="14"/>
      <c r="G13" s="5">
        <f t="shared" si="0"/>
        <v>10</v>
      </c>
      <c r="H13">
        <v>17.834654053838602</v>
      </c>
      <c r="I13">
        <f t="shared" si="4"/>
        <v>20.639568163346883</v>
      </c>
      <c r="J13">
        <v>13.0263804872151</v>
      </c>
      <c r="K13">
        <f t="shared" si="5"/>
        <v>18.950109162316988</v>
      </c>
      <c r="L13">
        <f t="shared" si="1"/>
        <v>59.507547102670792</v>
      </c>
      <c r="M13">
        <f t="shared" si="2"/>
        <v>59.704323827594756</v>
      </c>
      <c r="N13">
        <f t="shared" si="6"/>
        <v>0.19677672492396425</v>
      </c>
      <c r="O13" t="str">
        <f t="shared" si="3"/>
        <v>J2</v>
      </c>
      <c r="P13">
        <f t="shared" si="7"/>
        <v>73.019965899836095</v>
      </c>
      <c r="Q13">
        <f t="shared" si="8"/>
        <v>74.660034100163912</v>
      </c>
      <c r="R13" s="13" t="str">
        <f t="shared" si="9"/>
        <v>Continuer</v>
      </c>
    </row>
    <row r="14" spans="1:19" x14ac:dyDescent="0.3">
      <c r="A14" s="14"/>
      <c r="B14" s="14"/>
      <c r="C14" s="14"/>
      <c r="D14" s="14"/>
      <c r="E14" s="14"/>
      <c r="F14" s="14"/>
      <c r="G14" s="5">
        <f t="shared" si="0"/>
        <v>11</v>
      </c>
      <c r="H14">
        <v>27.495912952758299</v>
      </c>
      <c r="I14">
        <f t="shared" si="4"/>
        <v>24.067740558052591</v>
      </c>
      <c r="J14">
        <v>43.950099186167797</v>
      </c>
      <c r="K14">
        <f t="shared" si="5"/>
        <v>31.450104174242391</v>
      </c>
      <c r="L14">
        <f t="shared" si="1"/>
        <v>60.741072353106304</v>
      </c>
      <c r="M14">
        <f t="shared" si="2"/>
        <v>64.842065539811699</v>
      </c>
      <c r="N14">
        <f t="shared" si="6"/>
        <v>4.100993186705395</v>
      </c>
      <c r="O14" t="str">
        <f t="shared" si="3"/>
        <v>J2</v>
      </c>
      <c r="P14">
        <f t="shared" si="7"/>
        <v>68.9189727131307</v>
      </c>
      <c r="Q14">
        <f t="shared" si="8"/>
        <v>78.761027286869307</v>
      </c>
      <c r="R14" s="13" t="str">
        <f t="shared" si="9"/>
        <v>Continuer</v>
      </c>
    </row>
    <row r="15" spans="1:19" x14ac:dyDescent="0.3">
      <c r="A15" s="14"/>
      <c r="B15" s="14"/>
      <c r="C15" s="14"/>
      <c r="D15" s="14"/>
      <c r="E15" s="14"/>
      <c r="F15" s="14"/>
      <c r="G15" s="5">
        <f t="shared" si="0"/>
        <v>12</v>
      </c>
      <c r="H15">
        <v>81.571845740628405</v>
      </c>
      <c r="I15">
        <f t="shared" si="4"/>
        <v>52.819793149340498</v>
      </c>
      <c r="J15">
        <v>8.5211181503051208</v>
      </c>
      <c r="K15">
        <f t="shared" si="5"/>
        <v>19.985611162273756</v>
      </c>
      <c r="L15">
        <f t="shared" si="1"/>
        <v>69.371198158927683</v>
      </c>
      <c r="M15">
        <f t="shared" si="2"/>
        <v>63.126963565718015</v>
      </c>
      <c r="N15">
        <f t="shared" si="6"/>
        <v>6.2442345932096686</v>
      </c>
      <c r="O15" t="str">
        <f t="shared" si="3"/>
        <v>J1</v>
      </c>
      <c r="P15">
        <f t="shared" si="7"/>
        <v>75.163207306340368</v>
      </c>
      <c r="Q15">
        <f t="shared" si="8"/>
        <v>72.516792693659639</v>
      </c>
      <c r="R15" s="13" t="str">
        <f t="shared" si="9"/>
        <v>Continuer</v>
      </c>
    </row>
    <row r="16" spans="1:19" x14ac:dyDescent="0.3">
      <c r="A16" s="14"/>
      <c r="B16" s="14"/>
      <c r="C16" s="14"/>
      <c r="D16" s="14"/>
      <c r="E16" s="14"/>
      <c r="F16" s="14"/>
      <c r="G16" s="5">
        <f t="shared" si="0"/>
        <v>13</v>
      </c>
      <c r="H16">
        <v>-8.6592984334937899</v>
      </c>
      <c r="I16">
        <f t="shared" si="4"/>
        <v>22.080247357923355</v>
      </c>
      <c r="J16">
        <v>28.3735093052418</v>
      </c>
      <c r="K16">
        <f t="shared" si="5"/>
        <v>24.179560233757776</v>
      </c>
      <c r="L16">
        <f t="shared" si="1"/>
        <v>61.446344057607597</v>
      </c>
      <c r="M16">
        <f t="shared" si="2"/>
        <v>60.433578979064855</v>
      </c>
      <c r="N16">
        <f t="shared" si="6"/>
        <v>1.012765078542742</v>
      </c>
      <c r="O16" t="str">
        <f t="shared" si="3"/>
        <v>J1</v>
      </c>
      <c r="P16">
        <f t="shared" si="7"/>
        <v>76.17597238488311</v>
      </c>
      <c r="Q16">
        <f t="shared" si="8"/>
        <v>71.504027615116897</v>
      </c>
      <c r="R16" s="13" t="str">
        <f t="shared" si="9"/>
        <v>Continuer</v>
      </c>
    </row>
    <row r="17" spans="1:18" x14ac:dyDescent="0.3">
      <c r="A17" s="14"/>
      <c r="B17" s="14"/>
      <c r="C17" s="14"/>
      <c r="D17" s="14"/>
      <c r="E17" s="14"/>
      <c r="F17" s="14"/>
      <c r="G17" s="5">
        <f t="shared" si="0"/>
        <v>14</v>
      </c>
      <c r="H17">
        <v>13.659973252660899</v>
      </c>
      <c r="I17">
        <f t="shared" si="4"/>
        <v>17.870110305292126</v>
      </c>
      <c r="J17">
        <v>9.8141932799174505</v>
      </c>
      <c r="K17">
        <f t="shared" si="5"/>
        <v>16.996876756837615</v>
      </c>
      <c r="L17">
        <f t="shared" si="1"/>
        <v>60.471224791535022</v>
      </c>
      <c r="M17">
        <f t="shared" si="2"/>
        <v>56.851570033316875</v>
      </c>
      <c r="N17">
        <f t="shared" si="6"/>
        <v>3.6196547582181466</v>
      </c>
      <c r="O17" t="str">
        <f t="shared" si="3"/>
        <v>J1</v>
      </c>
      <c r="P17">
        <f t="shared" si="7"/>
        <v>79.795627143101257</v>
      </c>
      <c r="Q17">
        <f t="shared" si="8"/>
        <v>67.88437285689875</v>
      </c>
      <c r="R17" s="13" t="str">
        <f t="shared" si="9"/>
        <v>Continuer</v>
      </c>
    </row>
    <row r="18" spans="1:18" x14ac:dyDescent="0.3">
      <c r="A18" s="14"/>
      <c r="B18" s="14"/>
      <c r="C18" s="14"/>
      <c r="D18" s="14"/>
      <c r="E18" s="14"/>
      <c r="F18" s="14"/>
      <c r="G18" s="5">
        <f t="shared" si="0"/>
        <v>15</v>
      </c>
      <c r="H18">
        <v>-21.256317940708598</v>
      </c>
      <c r="I18">
        <f t="shared" si="4"/>
        <v>-1.693103817708236</v>
      </c>
      <c r="J18">
        <v>17.532662221273799</v>
      </c>
      <c r="K18">
        <f t="shared" si="5"/>
        <v>17.264769489055709</v>
      </c>
      <c r="L18">
        <f t="shared" si="1"/>
        <v>55.179697473087579</v>
      </c>
      <c r="M18">
        <f t="shared" si="2"/>
        <v>54.424968795451406</v>
      </c>
      <c r="N18">
        <f t="shared" si="6"/>
        <v>0.75472867763617302</v>
      </c>
      <c r="O18" t="str">
        <f t="shared" si="3"/>
        <v>J1</v>
      </c>
      <c r="P18">
        <f t="shared" si="7"/>
        <v>80.550355820737423</v>
      </c>
      <c r="Q18">
        <f t="shared" si="8"/>
        <v>67.129644179262584</v>
      </c>
      <c r="R18" s="13" t="str">
        <f t="shared" si="9"/>
        <v>Continuer</v>
      </c>
    </row>
    <row r="19" spans="1:18" x14ac:dyDescent="0.3">
      <c r="A19" s="14"/>
      <c r="B19" s="14"/>
      <c r="C19" s="14"/>
      <c r="D19" s="14"/>
      <c r="E19" s="14"/>
      <c r="F19" s="14"/>
      <c r="G19" s="5">
        <f t="shared" si="0"/>
        <v>16</v>
      </c>
      <c r="H19">
        <v>32.991502001605397</v>
      </c>
      <c r="I19">
        <f t="shared" si="4"/>
        <v>15.649199091948581</v>
      </c>
      <c r="J19">
        <v>43.205470879725702</v>
      </c>
      <c r="K19">
        <f t="shared" si="5"/>
        <v>30.235120184390706</v>
      </c>
      <c r="L19">
        <f t="shared" si="1"/>
        <v>62.64492871129562</v>
      </c>
      <c r="M19">
        <f t="shared" si="2"/>
        <v>59.084798999240093</v>
      </c>
      <c r="N19">
        <f t="shared" si="6"/>
        <v>3.5601297120555273</v>
      </c>
      <c r="O19" t="str">
        <f t="shared" si="3"/>
        <v>J1</v>
      </c>
      <c r="P19">
        <f t="shared" si="7"/>
        <v>84.11048553279295</v>
      </c>
      <c r="Q19">
        <f t="shared" si="8"/>
        <v>63.569514467207057</v>
      </c>
      <c r="R19" s="13" t="str">
        <f t="shared" si="9"/>
        <v>Continuer</v>
      </c>
    </row>
    <row r="20" spans="1:18" x14ac:dyDescent="0.3">
      <c r="A20" s="14"/>
      <c r="B20" s="14"/>
      <c r="C20" s="14"/>
      <c r="D20" s="14"/>
      <c r="E20" s="14"/>
      <c r="F20" s="14"/>
      <c r="G20" s="5">
        <f t="shared" si="0"/>
        <v>17</v>
      </c>
      <c r="H20">
        <v>-18.092845453681701</v>
      </c>
      <c r="I20">
        <f t="shared" si="4"/>
        <v>-1.2218231808665596</v>
      </c>
      <c r="J20">
        <v>53.457233841471101</v>
      </c>
      <c r="K20">
        <f t="shared" si="5"/>
        <v>41.846177012930902</v>
      </c>
      <c r="L20">
        <f t="shared" si="1"/>
        <v>58.388610600608438</v>
      </c>
      <c r="M20">
        <f t="shared" si="2"/>
        <v>61.237130932217298</v>
      </c>
      <c r="N20">
        <f t="shared" si="6"/>
        <v>2.8485203316088601</v>
      </c>
      <c r="O20" t="str">
        <f t="shared" si="3"/>
        <v>J2</v>
      </c>
      <c r="P20">
        <f t="shared" si="7"/>
        <v>81.261965201184097</v>
      </c>
      <c r="Q20">
        <f t="shared" si="8"/>
        <v>66.41803479881591</v>
      </c>
      <c r="R20" s="13" t="str">
        <f t="shared" si="9"/>
        <v>Continuer</v>
      </c>
    </row>
    <row r="21" spans="1:18" x14ac:dyDescent="0.3">
      <c r="A21" s="14"/>
      <c r="B21" s="14"/>
      <c r="C21" s="14"/>
      <c r="D21" s="14"/>
      <c r="E21" s="14"/>
      <c r="F21" s="14"/>
      <c r="G21" s="5">
        <f t="shared" si="0"/>
        <v>18</v>
      </c>
      <c r="H21">
        <v>26.402243122145499</v>
      </c>
      <c r="I21">
        <f t="shared" si="4"/>
        <v>12.590209970639471</v>
      </c>
      <c r="J21">
        <v>42.574373200701501</v>
      </c>
      <c r="K21">
        <f t="shared" si="5"/>
        <v>42.210275106816198</v>
      </c>
      <c r="L21">
        <f t="shared" si="1"/>
        <v>61.919459629084656</v>
      </c>
      <c r="M21">
        <f t="shared" si="2"/>
        <v>63.376734401897608</v>
      </c>
      <c r="N21">
        <f t="shared" si="6"/>
        <v>1.4572747728129514</v>
      </c>
      <c r="O21" t="str">
        <f t="shared" si="3"/>
        <v>J2</v>
      </c>
      <c r="P21">
        <f t="shared" si="7"/>
        <v>79.804690428371146</v>
      </c>
      <c r="Q21">
        <f t="shared" si="8"/>
        <v>67.875309571628861</v>
      </c>
      <c r="R21" s="13" t="str">
        <f t="shared" si="9"/>
        <v>Continuer</v>
      </c>
    </row>
    <row r="22" spans="1:18" x14ac:dyDescent="0.3">
      <c r="A22" s="14"/>
      <c r="B22" s="14"/>
      <c r="C22" s="14"/>
      <c r="D22" s="14"/>
      <c r="E22" s="14"/>
      <c r="F22" s="14"/>
      <c r="G22" s="5">
        <f t="shared" si="0"/>
        <v>19</v>
      </c>
      <c r="H22">
        <v>45.9617635159549</v>
      </c>
      <c r="I22">
        <f t="shared" si="4"/>
        <v>29.275986743297185</v>
      </c>
      <c r="J22">
        <v>63.299963773358499</v>
      </c>
      <c r="K22">
        <f t="shared" si="5"/>
        <v>52.755119440087348</v>
      </c>
      <c r="L22">
        <f t="shared" si="1"/>
        <v>67.573677997178677</v>
      </c>
      <c r="M22">
        <f t="shared" si="2"/>
        <v>68.614764476175139</v>
      </c>
      <c r="N22">
        <f t="shared" si="6"/>
        <v>1.041086478996462</v>
      </c>
      <c r="O22" t="str">
        <f t="shared" si="3"/>
        <v>J2</v>
      </c>
      <c r="P22">
        <f t="shared" si="7"/>
        <v>78.763603949374684</v>
      </c>
      <c r="Q22">
        <f t="shared" si="8"/>
        <v>68.916396050625323</v>
      </c>
      <c r="R22" s="13" t="str">
        <f t="shared" si="9"/>
        <v>Continuer</v>
      </c>
    </row>
    <row r="23" spans="1:18" x14ac:dyDescent="0.3">
      <c r="A23" s="14"/>
      <c r="B23" s="14"/>
      <c r="C23" s="14"/>
      <c r="D23" s="14"/>
      <c r="E23" s="14"/>
      <c r="F23" s="14"/>
      <c r="G23" s="5">
        <f t="shared" si="0"/>
        <v>20</v>
      </c>
      <c r="H23">
        <v>47.671842547700997</v>
      </c>
      <c r="I23">
        <f t="shared" si="4"/>
        <v>38.473914645499093</v>
      </c>
      <c r="J23">
        <v>62.398799618481299</v>
      </c>
      <c r="K23">
        <f t="shared" si="5"/>
        <v>57.576959529284323</v>
      </c>
      <c r="L23">
        <f t="shared" si="1"/>
        <v>70.524088622761923</v>
      </c>
      <c r="M23">
        <f t="shared" si="2"/>
        <v>71.27226104715146</v>
      </c>
      <c r="N23">
        <f t="shared" si="6"/>
        <v>0.74817242438953713</v>
      </c>
      <c r="O23" t="str">
        <f t="shared" si="3"/>
        <v>J2</v>
      </c>
      <c r="P23">
        <f t="shared" si="7"/>
        <v>78.015431524985146</v>
      </c>
      <c r="Q23">
        <f t="shared" si="8"/>
        <v>69.66456847501486</v>
      </c>
      <c r="R23" s="13" t="str">
        <f t="shared" si="9"/>
        <v>Continuer</v>
      </c>
    </row>
    <row r="24" spans="1:18" x14ac:dyDescent="0.3">
      <c r="A24" s="14"/>
      <c r="B24" s="14"/>
      <c r="C24" s="14"/>
      <c r="D24" s="14"/>
      <c r="E24" s="14"/>
      <c r="F24" s="14"/>
      <c r="G24" s="5">
        <f t="shared" si="0"/>
        <v>21</v>
      </c>
      <c r="H24">
        <v>54.978581393456302</v>
      </c>
      <c r="I24">
        <f t="shared" si="4"/>
        <v>46.726248019477694</v>
      </c>
      <c r="J24">
        <v>44.812904844787198</v>
      </c>
      <c r="K24">
        <f t="shared" si="5"/>
        <v>51.194932187035761</v>
      </c>
      <c r="L24">
        <f t="shared" si="1"/>
        <v>73.301301275280679</v>
      </c>
      <c r="M24">
        <f t="shared" si="2"/>
        <v>69.243170807324702</v>
      </c>
      <c r="N24">
        <f t="shared" si="6"/>
        <v>4.0581304679559764</v>
      </c>
      <c r="O24" t="str">
        <f t="shared" si="3"/>
        <v>J1</v>
      </c>
      <c r="P24">
        <f t="shared" si="7"/>
        <v>82.073561992941123</v>
      </c>
      <c r="Q24">
        <f t="shared" si="8"/>
        <v>65.606438007058884</v>
      </c>
      <c r="R24" s="13" t="str">
        <f t="shared" si="9"/>
        <v>Continuer</v>
      </c>
    </row>
    <row r="25" spans="1:18" x14ac:dyDescent="0.3">
      <c r="A25" s="14"/>
      <c r="B25" s="14"/>
      <c r="C25" s="14"/>
      <c r="D25" s="14"/>
      <c r="E25" s="14"/>
      <c r="F25" s="14"/>
      <c r="G25" s="5">
        <f t="shared" si="0"/>
        <v>22</v>
      </c>
      <c r="H25">
        <v>31.231578975443501</v>
      </c>
      <c r="I25">
        <f t="shared" si="4"/>
        <v>38.978913497460596</v>
      </c>
      <c r="J25">
        <v>7.6258465328545002</v>
      </c>
      <c r="K25">
        <f t="shared" si="5"/>
        <v>29.410389359945132</v>
      </c>
      <c r="L25">
        <f t="shared" si="1"/>
        <v>73.04305879404302</v>
      </c>
      <c r="M25">
        <f t="shared" si="2"/>
        <v>57.688662348919266</v>
      </c>
      <c r="N25">
        <f t="shared" si="6"/>
        <v>15.354396445123754</v>
      </c>
      <c r="O25" t="str">
        <f t="shared" si="3"/>
        <v>J1</v>
      </c>
      <c r="P25">
        <f t="shared" si="7"/>
        <v>97.427958438064877</v>
      </c>
      <c r="Q25">
        <f t="shared" si="8"/>
        <v>50.25204156193513</v>
      </c>
      <c r="R25" s="13" t="str">
        <f t="shared" si="9"/>
        <v>Continuer</v>
      </c>
    </row>
    <row r="26" spans="1:18" x14ac:dyDescent="0.3">
      <c r="A26" s="14"/>
      <c r="B26" s="14"/>
      <c r="C26" s="14"/>
      <c r="D26" s="14"/>
      <c r="E26" s="14"/>
      <c r="F26" s="14"/>
      <c r="G26" s="5">
        <f t="shared" si="0"/>
        <v>23</v>
      </c>
      <c r="H26">
        <v>-6.0479969749406397</v>
      </c>
      <c r="I26">
        <f t="shared" si="4"/>
        <v>16.465458261259979</v>
      </c>
      <c r="J26">
        <v>74.456847233645405</v>
      </c>
      <c r="K26">
        <f t="shared" si="5"/>
        <v>51.933618296795267</v>
      </c>
      <c r="L26">
        <f t="shared" si="1"/>
        <v>74.785754211149396</v>
      </c>
      <c r="M26">
        <f t="shared" si="2"/>
        <v>55.949876412072697</v>
      </c>
      <c r="N26">
        <f t="shared" si="6"/>
        <v>18.835877799076698</v>
      </c>
      <c r="O26" t="str">
        <f t="shared" si="3"/>
        <v>J1</v>
      </c>
      <c r="P26">
        <f t="shared" si="7"/>
        <v>116.26383623714158</v>
      </c>
      <c r="Q26">
        <f t="shared" si="8"/>
        <v>31.416163762858432</v>
      </c>
      <c r="R26" s="13" t="str">
        <f t="shared" si="9"/>
        <v>Continuer</v>
      </c>
    </row>
    <row r="27" spans="1:18" x14ac:dyDescent="0.3">
      <c r="A27" s="14"/>
      <c r="B27" s="14"/>
      <c r="C27" s="14"/>
      <c r="D27" s="14"/>
      <c r="E27" s="14"/>
      <c r="F27" s="14"/>
      <c r="G27" s="5">
        <f t="shared" si="0"/>
        <v>24</v>
      </c>
      <c r="H27">
        <v>34.914959003029999</v>
      </c>
      <c r="I27">
        <f t="shared" si="4"/>
        <v>25.690208632144987</v>
      </c>
      <c r="J27">
        <v>50.805510498369998</v>
      </c>
      <c r="K27">
        <f t="shared" si="5"/>
        <v>51.369564397582636</v>
      </c>
      <c r="L27">
        <f t="shared" si="1"/>
        <v>91.660768818857093</v>
      </c>
      <c r="M27">
        <f t="shared" si="2"/>
        <v>42.539140393033961</v>
      </c>
      <c r="N27">
        <f t="shared" si="6"/>
        <v>49.121628425823133</v>
      </c>
      <c r="O27" t="str">
        <f t="shared" si="3"/>
        <v>J1</v>
      </c>
      <c r="P27">
        <f t="shared" si="7"/>
        <v>165.38546466296469</v>
      </c>
      <c r="Q27">
        <f t="shared" si="8"/>
        <v>-17.705464662964701</v>
      </c>
      <c r="R27" s="13" t="str">
        <f t="shared" si="9"/>
        <v>Arret</v>
      </c>
    </row>
    <row r="28" spans="1:18" x14ac:dyDescent="0.3">
      <c r="A28" s="14"/>
      <c r="B28" s="14"/>
      <c r="C28" s="14"/>
      <c r="D28" s="14"/>
      <c r="E28" s="14"/>
      <c r="F28" s="14"/>
      <c r="G28" s="5" t="str">
        <f t="shared" si="0"/>
        <v/>
      </c>
      <c r="I28" t="str">
        <f t="shared" si="4"/>
        <v/>
      </c>
      <c r="K28" t="str">
        <f t="shared" si="5"/>
        <v/>
      </c>
      <c r="L28" t="str">
        <f t="shared" si="1"/>
        <v/>
      </c>
      <c r="M28" t="str">
        <f t="shared" si="2"/>
        <v/>
      </c>
      <c r="N28" t="str">
        <f t="shared" si="6"/>
        <v/>
      </c>
      <c r="O28" t="str">
        <f t="shared" si="3"/>
        <v/>
      </c>
      <c r="P28" t="str">
        <f t="shared" si="7"/>
        <v/>
      </c>
      <c r="Q28" t="str">
        <f t="shared" si="8"/>
        <v/>
      </c>
      <c r="R28" s="13" t="str">
        <f t="shared" si="9"/>
        <v/>
      </c>
    </row>
    <row r="29" spans="1:18" x14ac:dyDescent="0.3">
      <c r="A29" s="14"/>
      <c r="B29" s="14"/>
      <c r="C29" s="14"/>
      <c r="D29" s="14"/>
      <c r="E29" s="14"/>
      <c r="F29" s="14"/>
      <c r="G29" s="5" t="str">
        <f t="shared" si="0"/>
        <v/>
      </c>
      <c r="I29" t="str">
        <f t="shared" si="4"/>
        <v/>
      </c>
      <c r="K29" t="str">
        <f t="shared" si="5"/>
        <v/>
      </c>
      <c r="L29" t="str">
        <f t="shared" si="1"/>
        <v/>
      </c>
      <c r="M29" t="str">
        <f t="shared" si="2"/>
        <v/>
      </c>
      <c r="N29" t="str">
        <f t="shared" si="6"/>
        <v/>
      </c>
      <c r="O29" t="str">
        <f t="shared" si="3"/>
        <v/>
      </c>
      <c r="P29" t="str">
        <f t="shared" si="7"/>
        <v/>
      </c>
      <c r="Q29" t="str">
        <f t="shared" si="8"/>
        <v/>
      </c>
      <c r="R29" s="13" t="str">
        <f t="shared" si="9"/>
        <v/>
      </c>
    </row>
    <row r="30" spans="1:18" x14ac:dyDescent="0.3">
      <c r="A30" s="14"/>
      <c r="B30" s="14"/>
      <c r="C30" s="14"/>
      <c r="D30" s="14"/>
      <c r="E30" s="14"/>
      <c r="F30" s="14"/>
      <c r="G30" s="5" t="str">
        <f t="shared" si="0"/>
        <v/>
      </c>
      <c r="I30" t="str">
        <f t="shared" si="4"/>
        <v/>
      </c>
      <c r="K30" t="str">
        <f t="shared" si="5"/>
        <v/>
      </c>
      <c r="L30" t="str">
        <f t="shared" si="1"/>
        <v/>
      </c>
      <c r="M30" t="str">
        <f t="shared" si="2"/>
        <v/>
      </c>
      <c r="N30" t="str">
        <f t="shared" si="6"/>
        <v/>
      </c>
      <c r="O30" t="str">
        <f t="shared" si="3"/>
        <v/>
      </c>
      <c r="P30" t="str">
        <f t="shared" si="7"/>
        <v/>
      </c>
      <c r="Q30" t="str">
        <f t="shared" si="8"/>
        <v/>
      </c>
      <c r="R30" s="13" t="str">
        <f t="shared" si="9"/>
        <v/>
      </c>
    </row>
    <row r="31" spans="1:18" x14ac:dyDescent="0.3">
      <c r="A31" s="14"/>
      <c r="B31" s="14"/>
      <c r="C31" s="14"/>
      <c r="D31" s="14"/>
      <c r="E31" s="14"/>
      <c r="F31" s="14"/>
      <c r="G31" s="5" t="str">
        <f t="shared" si="0"/>
        <v/>
      </c>
      <c r="I31" t="str">
        <f t="shared" si="4"/>
        <v/>
      </c>
      <c r="K31" t="str">
        <f t="shared" si="5"/>
        <v/>
      </c>
      <c r="L31" t="str">
        <f t="shared" si="1"/>
        <v/>
      </c>
      <c r="M31" t="str">
        <f t="shared" si="2"/>
        <v/>
      </c>
      <c r="N31" t="str">
        <f t="shared" si="6"/>
        <v/>
      </c>
      <c r="O31" t="str">
        <f t="shared" si="3"/>
        <v/>
      </c>
      <c r="P31" t="str">
        <f t="shared" si="7"/>
        <v/>
      </c>
      <c r="Q31" t="str">
        <f t="shared" si="8"/>
        <v/>
      </c>
      <c r="R31" s="13" t="str">
        <f t="shared" si="9"/>
        <v/>
      </c>
    </row>
    <row r="32" spans="1:18" x14ac:dyDescent="0.3">
      <c r="A32" s="14"/>
      <c r="B32" s="14"/>
      <c r="C32" s="14"/>
      <c r="D32" s="14"/>
      <c r="E32" s="14"/>
      <c r="F32" s="14"/>
      <c r="G32" s="5" t="str">
        <f t="shared" si="0"/>
        <v/>
      </c>
      <c r="I32" t="str">
        <f t="shared" si="4"/>
        <v/>
      </c>
      <c r="K32" t="str">
        <f t="shared" si="5"/>
        <v/>
      </c>
      <c r="L32" t="str">
        <f t="shared" si="1"/>
        <v/>
      </c>
      <c r="M32" t="str">
        <f t="shared" si="2"/>
        <v/>
      </c>
      <c r="N32" t="str">
        <f t="shared" si="6"/>
        <v/>
      </c>
      <c r="O32" t="str">
        <f t="shared" si="3"/>
        <v/>
      </c>
      <c r="P32" t="str">
        <f t="shared" si="7"/>
        <v/>
      </c>
      <c r="Q32" t="str">
        <f t="shared" si="8"/>
        <v/>
      </c>
      <c r="R32" s="13" t="str">
        <f t="shared" si="9"/>
        <v/>
      </c>
    </row>
    <row r="33" spans="1:19" x14ac:dyDescent="0.3">
      <c r="A33" s="14"/>
      <c r="B33" s="14"/>
      <c r="C33" s="14"/>
      <c r="D33" s="14"/>
      <c r="E33" s="14"/>
      <c r="F33" s="14"/>
      <c r="G33" s="5" t="str">
        <f t="shared" si="0"/>
        <v/>
      </c>
      <c r="I33" t="str">
        <f t="shared" si="4"/>
        <v/>
      </c>
      <c r="K33" t="str">
        <f t="shared" si="5"/>
        <v/>
      </c>
      <c r="L33" t="str">
        <f t="shared" si="1"/>
        <v/>
      </c>
      <c r="M33" t="str">
        <f t="shared" si="2"/>
        <v/>
      </c>
      <c r="N33" t="str">
        <f t="shared" si="6"/>
        <v/>
      </c>
      <c r="O33" t="str">
        <f t="shared" si="3"/>
        <v/>
      </c>
      <c r="P33" t="str">
        <f t="shared" si="7"/>
        <v/>
      </c>
      <c r="Q33" t="str">
        <f t="shared" si="8"/>
        <v/>
      </c>
      <c r="R33" s="13" t="str">
        <f t="shared" si="9"/>
        <v/>
      </c>
    </row>
    <row r="34" spans="1:19" x14ac:dyDescent="0.3">
      <c r="A34" s="14"/>
      <c r="B34" s="14"/>
      <c r="C34" s="14"/>
      <c r="D34" s="14"/>
      <c r="E34" s="14"/>
      <c r="F34" s="14"/>
      <c r="G34" s="5" t="str">
        <f t="shared" si="0"/>
        <v/>
      </c>
      <c r="I34" t="str">
        <f t="shared" si="4"/>
        <v/>
      </c>
      <c r="K34" t="str">
        <f t="shared" si="5"/>
        <v/>
      </c>
      <c r="L34" t="str">
        <f t="shared" si="1"/>
        <v/>
      </c>
      <c r="M34" t="str">
        <f t="shared" si="2"/>
        <v/>
      </c>
      <c r="N34" t="str">
        <f t="shared" si="6"/>
        <v/>
      </c>
      <c r="O34" t="str">
        <f t="shared" si="3"/>
        <v/>
      </c>
      <c r="P34" t="str">
        <f t="shared" si="7"/>
        <v/>
      </c>
      <c r="Q34" t="str">
        <f t="shared" si="8"/>
        <v/>
      </c>
      <c r="R34" s="13" t="str">
        <f t="shared" si="9"/>
        <v/>
      </c>
    </row>
    <row r="35" spans="1:19" x14ac:dyDescent="0.3">
      <c r="A35" s="14"/>
      <c r="B35" s="14"/>
      <c r="C35" s="14"/>
      <c r="D35" s="14"/>
      <c r="E35" s="14"/>
      <c r="F35" s="14"/>
      <c r="G35" s="5" t="str">
        <f t="shared" si="0"/>
        <v/>
      </c>
      <c r="I35" t="str">
        <f t="shared" si="4"/>
        <v/>
      </c>
      <c r="K35" t="str">
        <f t="shared" si="5"/>
        <v/>
      </c>
      <c r="L35" t="str">
        <f t="shared" si="1"/>
        <v/>
      </c>
      <c r="M35" t="str">
        <f t="shared" si="2"/>
        <v/>
      </c>
      <c r="N35" t="str">
        <f t="shared" si="6"/>
        <v/>
      </c>
      <c r="O35" t="str">
        <f t="shared" si="3"/>
        <v/>
      </c>
      <c r="P35" t="str">
        <f t="shared" si="7"/>
        <v/>
      </c>
      <c r="Q35" t="str">
        <f t="shared" si="8"/>
        <v/>
      </c>
      <c r="R35" s="13" t="str">
        <f t="shared" si="9"/>
        <v/>
      </c>
    </row>
    <row r="36" spans="1:19" x14ac:dyDescent="0.3">
      <c r="A36" s="14"/>
      <c r="B36" s="14"/>
      <c r="C36" s="14"/>
      <c r="D36" s="14"/>
      <c r="E36" s="14"/>
      <c r="F36" s="14"/>
      <c r="G36" s="5" t="str">
        <f t="shared" si="0"/>
        <v/>
      </c>
      <c r="I36" t="str">
        <f t="shared" si="4"/>
        <v/>
      </c>
      <c r="K36" t="str">
        <f t="shared" si="5"/>
        <v/>
      </c>
      <c r="L36" t="str">
        <f t="shared" si="1"/>
        <v/>
      </c>
      <c r="M36" t="str">
        <f t="shared" si="2"/>
        <v/>
      </c>
      <c r="N36" t="str">
        <f t="shared" si="6"/>
        <v/>
      </c>
      <c r="O36" t="str">
        <f t="shared" si="3"/>
        <v/>
      </c>
      <c r="P36" t="str">
        <f t="shared" si="7"/>
        <v/>
      </c>
      <c r="Q36" t="str">
        <f t="shared" si="8"/>
        <v/>
      </c>
      <c r="R36" s="13" t="str">
        <f t="shared" si="9"/>
        <v/>
      </c>
    </row>
    <row r="37" spans="1:19" x14ac:dyDescent="0.3">
      <c r="A37" s="14"/>
      <c r="B37" s="14"/>
      <c r="C37" s="14"/>
      <c r="D37" s="14"/>
      <c r="E37" s="14"/>
      <c r="F37" s="14"/>
      <c r="G37" s="5" t="str">
        <f t="shared" si="0"/>
        <v/>
      </c>
      <c r="I37" t="str">
        <f t="shared" si="4"/>
        <v/>
      </c>
      <c r="K37" t="str">
        <f t="shared" si="5"/>
        <v/>
      </c>
      <c r="L37" t="str">
        <f t="shared" si="1"/>
        <v/>
      </c>
      <c r="M37" t="str">
        <f t="shared" si="2"/>
        <v/>
      </c>
      <c r="N37" t="str">
        <f t="shared" si="6"/>
        <v/>
      </c>
      <c r="O37" t="str">
        <f t="shared" si="3"/>
        <v/>
      </c>
      <c r="P37" t="str">
        <f t="shared" si="7"/>
        <v/>
      </c>
      <c r="Q37" t="str">
        <f t="shared" si="8"/>
        <v/>
      </c>
      <c r="R37" s="13" t="str">
        <f t="shared" si="9"/>
        <v/>
      </c>
    </row>
    <row r="38" spans="1:19" x14ac:dyDescent="0.3">
      <c r="A38" s="14"/>
      <c r="B38" s="14"/>
      <c r="C38" s="14"/>
      <c r="D38" s="14"/>
      <c r="E38" s="14"/>
      <c r="F38" s="14"/>
      <c r="G38" s="5" t="str">
        <f t="shared" si="0"/>
        <v/>
      </c>
      <c r="I38" t="str">
        <f t="shared" si="4"/>
        <v/>
      </c>
      <c r="K38" t="str">
        <f t="shared" si="5"/>
        <v/>
      </c>
      <c r="L38" t="str">
        <f t="shared" si="1"/>
        <v/>
      </c>
      <c r="M38" t="str">
        <f t="shared" si="2"/>
        <v/>
      </c>
      <c r="N38" t="str">
        <f t="shared" si="6"/>
        <v/>
      </c>
      <c r="O38" t="str">
        <f t="shared" si="3"/>
        <v/>
      </c>
      <c r="P38" t="str">
        <f t="shared" si="7"/>
        <v/>
      </c>
      <c r="Q38" t="str">
        <f t="shared" si="8"/>
        <v/>
      </c>
      <c r="R38" s="13" t="str">
        <f t="shared" si="9"/>
        <v/>
      </c>
    </row>
    <row r="39" spans="1:19" x14ac:dyDescent="0.3">
      <c r="A39" s="14"/>
      <c r="B39" s="14"/>
      <c r="C39" s="14"/>
      <c r="D39" s="14"/>
      <c r="E39" s="14"/>
      <c r="F39" s="14"/>
      <c r="G39" s="5" t="str">
        <f t="shared" si="0"/>
        <v/>
      </c>
      <c r="I39" t="str">
        <f t="shared" si="4"/>
        <v/>
      </c>
      <c r="K39" t="str">
        <f t="shared" si="5"/>
        <v/>
      </c>
      <c r="L39" t="str">
        <f t="shared" si="1"/>
        <v/>
      </c>
      <c r="M39" t="str">
        <f t="shared" si="2"/>
        <v/>
      </c>
      <c r="N39" t="str">
        <f t="shared" si="6"/>
        <v/>
      </c>
      <c r="O39" t="str">
        <f t="shared" si="3"/>
        <v/>
      </c>
      <c r="P39" t="str">
        <f t="shared" si="7"/>
        <v/>
      </c>
      <c r="Q39" t="str">
        <f t="shared" si="8"/>
        <v/>
      </c>
      <c r="R39" s="13" t="str">
        <f t="shared" si="9"/>
        <v/>
      </c>
    </row>
    <row r="40" spans="1:19" x14ac:dyDescent="0.3">
      <c r="A40" s="14"/>
      <c r="B40" s="14"/>
      <c r="C40" s="14"/>
      <c r="D40" s="14"/>
      <c r="E40" s="14"/>
      <c r="F40" s="14"/>
      <c r="G40" s="5" t="str">
        <f t="shared" si="0"/>
        <v/>
      </c>
      <c r="I40" t="str">
        <f t="shared" si="4"/>
        <v/>
      </c>
      <c r="K40" t="str">
        <f t="shared" si="5"/>
        <v/>
      </c>
      <c r="L40" t="str">
        <f t="shared" si="1"/>
        <v/>
      </c>
      <c r="M40" t="str">
        <f t="shared" si="2"/>
        <v/>
      </c>
      <c r="N40" t="str">
        <f t="shared" si="6"/>
        <v/>
      </c>
      <c r="O40" t="str">
        <f t="shared" si="3"/>
        <v/>
      </c>
      <c r="P40" t="str">
        <f t="shared" si="7"/>
        <v/>
      </c>
      <c r="Q40" t="str">
        <f t="shared" si="8"/>
        <v/>
      </c>
      <c r="R40" s="13" t="str">
        <f t="shared" si="9"/>
        <v/>
      </c>
    </row>
    <row r="41" spans="1:19" x14ac:dyDescent="0.3">
      <c r="A41" s="14"/>
      <c r="B41" s="14"/>
      <c r="C41" s="14"/>
      <c r="D41" s="14"/>
      <c r="E41" s="14"/>
      <c r="F41" s="14"/>
      <c r="G41" s="5" t="str">
        <f t="shared" si="0"/>
        <v/>
      </c>
      <c r="I41" t="str">
        <f t="shared" si="4"/>
        <v/>
      </c>
      <c r="K41" t="str">
        <f t="shared" si="5"/>
        <v/>
      </c>
      <c r="L41" t="str">
        <f t="shared" si="1"/>
        <v/>
      </c>
      <c r="M41" t="str">
        <f t="shared" si="2"/>
        <v/>
      </c>
      <c r="N41" t="str">
        <f t="shared" si="6"/>
        <v/>
      </c>
      <c r="O41" t="str">
        <f t="shared" si="3"/>
        <v/>
      </c>
      <c r="P41" t="str">
        <f t="shared" si="7"/>
        <v/>
      </c>
      <c r="Q41" t="str">
        <f t="shared" si="8"/>
        <v/>
      </c>
      <c r="R41" s="13" t="str">
        <f t="shared" si="9"/>
        <v/>
      </c>
    </row>
    <row r="42" spans="1:19" ht="15" thickBot="1" x14ac:dyDescent="0.35">
      <c r="A42" s="14"/>
      <c r="B42" s="14"/>
      <c r="C42" s="14"/>
      <c r="D42" s="14"/>
      <c r="E42" s="14"/>
      <c r="F42" s="14"/>
      <c r="G42" s="7" t="str">
        <f t="shared" si="0"/>
        <v/>
      </c>
      <c r="H42" s="8"/>
      <c r="I42" s="8" t="str">
        <f t="shared" si="4"/>
        <v/>
      </c>
      <c r="J42" s="8"/>
      <c r="K42" t="str">
        <f t="shared" si="5"/>
        <v/>
      </c>
      <c r="L42" s="8" t="str">
        <f t="shared" si="1"/>
        <v/>
      </c>
      <c r="M42" s="8" t="str">
        <f t="shared" si="2"/>
        <v/>
      </c>
      <c r="N42" s="8" t="str">
        <f t="shared" si="6"/>
        <v/>
      </c>
      <c r="O42" s="8" t="str">
        <f t="shared" si="3"/>
        <v/>
      </c>
      <c r="P42" s="8" t="str">
        <f t="shared" si="7"/>
        <v/>
      </c>
      <c r="Q42" s="8" t="str">
        <f t="shared" si="8"/>
        <v/>
      </c>
      <c r="R42" s="17" t="str">
        <f t="shared" si="9"/>
        <v/>
      </c>
    </row>
    <row r="43" spans="1:19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</row>
    <row r="44" spans="1:19" x14ac:dyDescent="0.3">
      <c r="F44" s="14"/>
    </row>
    <row r="45" spans="1:19" x14ac:dyDescent="0.3">
      <c r="F45" s="14"/>
    </row>
    <row r="46" spans="1:19" x14ac:dyDescent="0.3">
      <c r="F46" s="14"/>
    </row>
    <row r="47" spans="1:19" x14ac:dyDescent="0.3">
      <c r="F47" s="14"/>
    </row>
    <row r="48" spans="1:19" x14ac:dyDescent="0.3">
      <c r="F48" s="14"/>
    </row>
    <row r="49" spans="6:6" x14ac:dyDescent="0.3">
      <c r="F49" s="14"/>
    </row>
    <row r="50" spans="6:6" x14ac:dyDescent="0.3">
      <c r="F50" s="14"/>
    </row>
    <row r="51" spans="6:6" x14ac:dyDescent="0.3">
      <c r="F51" s="14"/>
    </row>
    <row r="52" spans="6:6" x14ac:dyDescent="0.3">
      <c r="F52" s="14"/>
    </row>
    <row r="53" spans="6:6" x14ac:dyDescent="0.3">
      <c r="F53" s="14"/>
    </row>
    <row r="54" spans="6:6" x14ac:dyDescent="0.3">
      <c r="F54" s="14"/>
    </row>
    <row r="55" spans="6:6" x14ac:dyDescent="0.3">
      <c r="F55" s="14"/>
    </row>
    <row r="56" spans="6:6" x14ac:dyDescent="0.3">
      <c r="F56" s="14"/>
    </row>
    <row r="57" spans="6:6" x14ac:dyDescent="0.3">
      <c r="F57" s="14"/>
    </row>
    <row r="58" spans="6:6" x14ac:dyDescent="0.3">
      <c r="F58" s="14"/>
    </row>
    <row r="59" spans="6:6" x14ac:dyDescent="0.3">
      <c r="F59" s="14"/>
    </row>
    <row r="60" spans="6:6" x14ac:dyDescent="0.3">
      <c r="F60" s="14"/>
    </row>
    <row r="61" spans="6:6" x14ac:dyDescent="0.3">
      <c r="F61" s="14"/>
    </row>
    <row r="62" spans="6:6" x14ac:dyDescent="0.3">
      <c r="F62" s="14"/>
    </row>
    <row r="63" spans="6:6" x14ac:dyDescent="0.3">
      <c r="F63" s="14"/>
    </row>
    <row r="64" spans="6:6" x14ac:dyDescent="0.3">
      <c r="F64" s="14"/>
    </row>
    <row r="65" spans="6:6" x14ac:dyDescent="0.3">
      <c r="F65" s="14"/>
    </row>
    <row r="66" spans="6:6" x14ac:dyDescent="0.3">
      <c r="F66" s="14"/>
    </row>
    <row r="67" spans="6:6" x14ac:dyDescent="0.3">
      <c r="F67" s="14"/>
    </row>
    <row r="68" spans="6:6" x14ac:dyDescent="0.3">
      <c r="F68" s="14"/>
    </row>
    <row r="69" spans="6:6" x14ac:dyDescent="0.3">
      <c r="F69" s="14"/>
    </row>
    <row r="70" spans="6:6" x14ac:dyDescent="0.3">
      <c r="F70" s="14"/>
    </row>
    <row r="71" spans="6:6" x14ac:dyDescent="0.3">
      <c r="F71" s="14"/>
    </row>
    <row r="72" spans="6:6" x14ac:dyDescent="0.3">
      <c r="F72" s="14"/>
    </row>
    <row r="73" spans="6:6" x14ac:dyDescent="0.3">
      <c r="F73" s="14"/>
    </row>
    <row r="74" spans="6:6" x14ac:dyDescent="0.3">
      <c r="F74" s="14"/>
    </row>
    <row r="75" spans="6:6" x14ac:dyDescent="0.3">
      <c r="F75" s="14"/>
    </row>
    <row r="76" spans="6:6" x14ac:dyDescent="0.3">
      <c r="F76" s="14"/>
    </row>
    <row r="77" spans="6:6" x14ac:dyDescent="0.3">
      <c r="F77" s="14"/>
    </row>
    <row r="78" spans="6:6" x14ac:dyDescent="0.3">
      <c r="F78" s="14"/>
    </row>
    <row r="79" spans="6:6" x14ac:dyDescent="0.3">
      <c r="F79" s="14"/>
    </row>
    <row r="80" spans="6:6" x14ac:dyDescent="0.3">
      <c r="F80" s="14"/>
    </row>
    <row r="81" spans="6:6" x14ac:dyDescent="0.3">
      <c r="F81" s="14"/>
    </row>
    <row r="82" spans="6:6" x14ac:dyDescent="0.3">
      <c r="F82" s="14"/>
    </row>
    <row r="83" spans="6:6" x14ac:dyDescent="0.3">
      <c r="F83" s="14"/>
    </row>
    <row r="84" spans="6:6" x14ac:dyDescent="0.3">
      <c r="F84" s="14"/>
    </row>
    <row r="85" spans="6:6" x14ac:dyDescent="0.3">
      <c r="F85" s="14"/>
    </row>
    <row r="86" spans="6:6" x14ac:dyDescent="0.3">
      <c r="F86" s="14"/>
    </row>
    <row r="87" spans="6:6" x14ac:dyDescent="0.3">
      <c r="F87" s="14"/>
    </row>
    <row r="88" spans="6:6" x14ac:dyDescent="0.3">
      <c r="F88" s="14"/>
    </row>
    <row r="89" spans="6:6" x14ac:dyDescent="0.3">
      <c r="F89" s="14"/>
    </row>
    <row r="90" spans="6:6" x14ac:dyDescent="0.3">
      <c r="F90" s="14"/>
    </row>
    <row r="91" spans="6:6" x14ac:dyDescent="0.3">
      <c r="F91" s="14"/>
    </row>
    <row r="92" spans="6:6" x14ac:dyDescent="0.3">
      <c r="F92" s="14"/>
    </row>
    <row r="93" spans="6:6" x14ac:dyDescent="0.3">
      <c r="F93" s="14"/>
    </row>
    <row r="94" spans="6:6" x14ac:dyDescent="0.3">
      <c r="F94" s="14"/>
    </row>
    <row r="95" spans="6:6" x14ac:dyDescent="0.3">
      <c r="F95" s="14"/>
    </row>
    <row r="96" spans="6:6" x14ac:dyDescent="0.3">
      <c r="F96" s="14"/>
    </row>
    <row r="97" spans="6:6" x14ac:dyDescent="0.3">
      <c r="F97" s="14"/>
    </row>
    <row r="98" spans="6:6" x14ac:dyDescent="0.3">
      <c r="F98" s="14"/>
    </row>
    <row r="99" spans="6:6" x14ac:dyDescent="0.3">
      <c r="F99" s="14"/>
    </row>
    <row r="100" spans="6:6" x14ac:dyDescent="0.3">
      <c r="F100" s="14"/>
    </row>
    <row r="101" spans="6:6" x14ac:dyDescent="0.3">
      <c r="F101" s="14"/>
    </row>
    <row r="102" spans="6:6" x14ac:dyDescent="0.3">
      <c r="F102" s="14"/>
    </row>
    <row r="103" spans="6:6" x14ac:dyDescent="0.3">
      <c r="F103" s="14"/>
    </row>
    <row r="104" spans="6:6" x14ac:dyDescent="0.3">
      <c r="F104" s="14"/>
    </row>
    <row r="105" spans="6:6" x14ac:dyDescent="0.3">
      <c r="F105" s="14"/>
    </row>
    <row r="106" spans="6:6" x14ac:dyDescent="0.3">
      <c r="F106" s="14"/>
    </row>
    <row r="107" spans="6:6" x14ac:dyDescent="0.3">
      <c r="F107" s="14"/>
    </row>
    <row r="108" spans="6:6" x14ac:dyDescent="0.3">
      <c r="F108" s="14"/>
    </row>
    <row r="109" spans="6:6" x14ac:dyDescent="0.3">
      <c r="F109" s="14"/>
    </row>
    <row r="110" spans="6:6" x14ac:dyDescent="0.3">
      <c r="F110" s="14"/>
    </row>
    <row r="111" spans="6:6" x14ac:dyDescent="0.3">
      <c r="F111" s="14"/>
    </row>
    <row r="112" spans="6:6" x14ac:dyDescent="0.3">
      <c r="F112" s="14"/>
    </row>
    <row r="113" spans="6:6" x14ac:dyDescent="0.3">
      <c r="F113" s="14"/>
    </row>
    <row r="114" spans="6:6" x14ac:dyDescent="0.3">
      <c r="F114" s="14"/>
    </row>
    <row r="115" spans="6:6" x14ac:dyDescent="0.3">
      <c r="F115" s="14"/>
    </row>
    <row r="116" spans="6:6" x14ac:dyDescent="0.3">
      <c r="F116" s="14"/>
    </row>
    <row r="117" spans="6:6" x14ac:dyDescent="0.3">
      <c r="F117" s="14"/>
    </row>
    <row r="118" spans="6:6" x14ac:dyDescent="0.3">
      <c r="F118" s="14"/>
    </row>
    <row r="119" spans="6:6" x14ac:dyDescent="0.3">
      <c r="F119" s="14"/>
    </row>
    <row r="120" spans="6:6" x14ac:dyDescent="0.3">
      <c r="F120" s="14"/>
    </row>
    <row r="121" spans="6:6" x14ac:dyDescent="0.3">
      <c r="F121" s="14"/>
    </row>
    <row r="122" spans="6:6" x14ac:dyDescent="0.3">
      <c r="F122" s="14"/>
    </row>
    <row r="123" spans="6:6" x14ac:dyDescent="0.3">
      <c r="F123" s="14"/>
    </row>
    <row r="124" spans="6:6" x14ac:dyDescent="0.3">
      <c r="F124" s="14"/>
    </row>
    <row r="125" spans="6:6" x14ac:dyDescent="0.3">
      <c r="F125" s="14"/>
    </row>
    <row r="126" spans="6:6" x14ac:dyDescent="0.3">
      <c r="F126" s="14"/>
    </row>
    <row r="127" spans="6:6" x14ac:dyDescent="0.3">
      <c r="F127" s="14"/>
    </row>
    <row r="128" spans="6:6" x14ac:dyDescent="0.3">
      <c r="F128" s="14"/>
    </row>
    <row r="129" spans="6:6" x14ac:dyDescent="0.3">
      <c r="F129" s="14"/>
    </row>
    <row r="130" spans="6:6" x14ac:dyDescent="0.3">
      <c r="F130" s="14"/>
    </row>
    <row r="131" spans="6:6" x14ac:dyDescent="0.3">
      <c r="F131" s="14"/>
    </row>
    <row r="132" spans="6:6" x14ac:dyDescent="0.3">
      <c r="F132" s="14"/>
    </row>
    <row r="133" spans="6:6" x14ac:dyDescent="0.3">
      <c r="F133" s="14"/>
    </row>
    <row r="134" spans="6:6" x14ac:dyDescent="0.3">
      <c r="F134" s="14"/>
    </row>
    <row r="135" spans="6:6" x14ac:dyDescent="0.3">
      <c r="F135" s="14"/>
    </row>
    <row r="136" spans="6:6" x14ac:dyDescent="0.3">
      <c r="F136" s="14"/>
    </row>
    <row r="137" spans="6:6" x14ac:dyDescent="0.3">
      <c r="F137" s="14"/>
    </row>
    <row r="138" spans="6:6" x14ac:dyDescent="0.3">
      <c r="F138" s="14"/>
    </row>
    <row r="139" spans="6:6" x14ac:dyDescent="0.3">
      <c r="F139" s="14"/>
    </row>
    <row r="140" spans="6:6" x14ac:dyDescent="0.3">
      <c r="F140" s="14"/>
    </row>
    <row r="141" spans="6:6" x14ac:dyDescent="0.3">
      <c r="F141" s="14"/>
    </row>
    <row r="142" spans="6:6" x14ac:dyDescent="0.3">
      <c r="F142" s="14"/>
    </row>
    <row r="143" spans="6:6" x14ac:dyDescent="0.3">
      <c r="F143" s="14"/>
    </row>
    <row r="144" spans="6:6" x14ac:dyDescent="0.3">
      <c r="F144" s="14"/>
    </row>
    <row r="145" spans="6:6" x14ac:dyDescent="0.3">
      <c r="F145" s="14"/>
    </row>
    <row r="146" spans="6:6" x14ac:dyDescent="0.3">
      <c r="F146" s="14"/>
    </row>
    <row r="147" spans="6:6" x14ac:dyDescent="0.3">
      <c r="F147" s="14"/>
    </row>
    <row r="148" spans="6:6" x14ac:dyDescent="0.3">
      <c r="F148" s="14"/>
    </row>
    <row r="149" spans="6:6" x14ac:dyDescent="0.3">
      <c r="F149" s="14"/>
    </row>
    <row r="150" spans="6:6" x14ac:dyDescent="0.3">
      <c r="F150" s="14"/>
    </row>
    <row r="151" spans="6:6" x14ac:dyDescent="0.3">
      <c r="F151" s="14"/>
    </row>
    <row r="152" spans="6:6" x14ac:dyDescent="0.3">
      <c r="F152" s="14"/>
    </row>
    <row r="153" spans="6:6" x14ac:dyDescent="0.3">
      <c r="F153" s="14"/>
    </row>
    <row r="154" spans="6:6" x14ac:dyDescent="0.3">
      <c r="F154" s="14"/>
    </row>
    <row r="155" spans="6:6" x14ac:dyDescent="0.3">
      <c r="F155" s="14"/>
    </row>
    <row r="156" spans="6:6" x14ac:dyDescent="0.3">
      <c r="F156" s="14"/>
    </row>
    <row r="157" spans="6:6" x14ac:dyDescent="0.3">
      <c r="F157" s="14"/>
    </row>
    <row r="158" spans="6:6" x14ac:dyDescent="0.3">
      <c r="F158" s="14"/>
    </row>
    <row r="159" spans="6:6" x14ac:dyDescent="0.3">
      <c r="F159" s="14"/>
    </row>
    <row r="160" spans="6:6" x14ac:dyDescent="0.3">
      <c r="F160" s="14"/>
    </row>
    <row r="161" spans="6:6" x14ac:dyDescent="0.3">
      <c r="F161" s="14"/>
    </row>
    <row r="162" spans="6:6" x14ac:dyDescent="0.3">
      <c r="F162" s="14"/>
    </row>
    <row r="163" spans="6:6" x14ac:dyDescent="0.3">
      <c r="F163" s="14"/>
    </row>
    <row r="164" spans="6:6" x14ac:dyDescent="0.3">
      <c r="F164" s="14"/>
    </row>
    <row r="165" spans="6:6" x14ac:dyDescent="0.3">
      <c r="F165" s="14"/>
    </row>
    <row r="166" spans="6:6" x14ac:dyDescent="0.3">
      <c r="F166" s="14"/>
    </row>
    <row r="167" spans="6:6" x14ac:dyDescent="0.3">
      <c r="F167" s="14"/>
    </row>
    <row r="168" spans="6:6" x14ac:dyDescent="0.3">
      <c r="F168" s="14"/>
    </row>
    <row r="169" spans="6:6" x14ac:dyDescent="0.3">
      <c r="F169" s="14"/>
    </row>
    <row r="170" spans="6:6" x14ac:dyDescent="0.3">
      <c r="F170" s="14"/>
    </row>
    <row r="171" spans="6:6" x14ac:dyDescent="0.3">
      <c r="F171" s="14"/>
    </row>
    <row r="172" spans="6:6" x14ac:dyDescent="0.3">
      <c r="F172" s="14"/>
    </row>
    <row r="173" spans="6:6" x14ac:dyDescent="0.3">
      <c r="F173" s="14"/>
    </row>
    <row r="174" spans="6:6" x14ac:dyDescent="0.3">
      <c r="F174" s="14"/>
    </row>
    <row r="175" spans="6:6" x14ac:dyDescent="0.3">
      <c r="F175" s="14"/>
    </row>
    <row r="176" spans="6:6" x14ac:dyDescent="0.3">
      <c r="F176" s="14"/>
    </row>
    <row r="177" spans="6:6" x14ac:dyDescent="0.3">
      <c r="F177" s="14"/>
    </row>
    <row r="178" spans="6:6" x14ac:dyDescent="0.3">
      <c r="F178" s="14"/>
    </row>
    <row r="179" spans="6:6" x14ac:dyDescent="0.3">
      <c r="F179" s="14"/>
    </row>
    <row r="180" spans="6:6" x14ac:dyDescent="0.3">
      <c r="F180" s="14"/>
    </row>
    <row r="181" spans="6:6" x14ac:dyDescent="0.3">
      <c r="F181" s="14"/>
    </row>
    <row r="182" spans="6:6" x14ac:dyDescent="0.3">
      <c r="F182" s="14"/>
    </row>
    <row r="183" spans="6:6" x14ac:dyDescent="0.3">
      <c r="F183" s="14"/>
    </row>
    <row r="184" spans="6:6" x14ac:dyDescent="0.3">
      <c r="F184" s="14"/>
    </row>
    <row r="185" spans="6:6" x14ac:dyDescent="0.3">
      <c r="F185" s="14"/>
    </row>
    <row r="186" spans="6:6" x14ac:dyDescent="0.3">
      <c r="F186" s="14"/>
    </row>
    <row r="187" spans="6:6" x14ac:dyDescent="0.3">
      <c r="F187" s="14"/>
    </row>
    <row r="188" spans="6:6" x14ac:dyDescent="0.3">
      <c r="F188" s="14"/>
    </row>
    <row r="189" spans="6:6" x14ac:dyDescent="0.3">
      <c r="F189" s="14"/>
    </row>
    <row r="190" spans="6:6" x14ac:dyDescent="0.3">
      <c r="F190" s="14"/>
    </row>
    <row r="191" spans="6:6" x14ac:dyDescent="0.3">
      <c r="F191" s="14"/>
    </row>
    <row r="192" spans="6:6" x14ac:dyDescent="0.3">
      <c r="F192" s="14"/>
    </row>
    <row r="193" spans="6:6" x14ac:dyDescent="0.3">
      <c r="F193" s="14"/>
    </row>
    <row r="194" spans="6:6" x14ac:dyDescent="0.3">
      <c r="F194" s="14"/>
    </row>
    <row r="195" spans="6:6" x14ac:dyDescent="0.3">
      <c r="F195" s="14"/>
    </row>
    <row r="196" spans="6:6" x14ac:dyDescent="0.3">
      <c r="F196" s="14"/>
    </row>
    <row r="197" spans="6:6" x14ac:dyDescent="0.3">
      <c r="F197" s="14"/>
    </row>
    <row r="198" spans="6:6" x14ac:dyDescent="0.3">
      <c r="F198" s="14"/>
    </row>
    <row r="199" spans="6:6" x14ac:dyDescent="0.3">
      <c r="F199" s="14"/>
    </row>
    <row r="200" spans="6:6" x14ac:dyDescent="0.3">
      <c r="F200" s="14"/>
    </row>
    <row r="201" spans="6:6" x14ac:dyDescent="0.3">
      <c r="F201" s="14"/>
    </row>
    <row r="202" spans="6:6" x14ac:dyDescent="0.3">
      <c r="F202" s="14"/>
    </row>
    <row r="203" spans="6:6" x14ac:dyDescent="0.3">
      <c r="F203" s="14"/>
    </row>
    <row r="204" spans="6:6" x14ac:dyDescent="0.3">
      <c r="F204" s="14"/>
    </row>
    <row r="205" spans="6:6" x14ac:dyDescent="0.3">
      <c r="F205" s="14"/>
    </row>
    <row r="206" spans="6:6" x14ac:dyDescent="0.3">
      <c r="F206" s="14"/>
    </row>
    <row r="207" spans="6:6" x14ac:dyDescent="0.3">
      <c r="F207" s="14"/>
    </row>
    <row r="208" spans="6:6" x14ac:dyDescent="0.3">
      <c r="F208" s="14"/>
    </row>
    <row r="209" spans="6:6" x14ac:dyDescent="0.3">
      <c r="F209" s="14"/>
    </row>
    <row r="210" spans="6:6" x14ac:dyDescent="0.3">
      <c r="F210" s="14"/>
    </row>
    <row r="211" spans="6:6" x14ac:dyDescent="0.3">
      <c r="F211" s="14"/>
    </row>
    <row r="212" spans="6:6" x14ac:dyDescent="0.3">
      <c r="F212" s="14"/>
    </row>
    <row r="213" spans="6:6" x14ac:dyDescent="0.3">
      <c r="F213" s="14"/>
    </row>
    <row r="214" spans="6:6" x14ac:dyDescent="0.3">
      <c r="F214" s="14"/>
    </row>
    <row r="215" spans="6:6" x14ac:dyDescent="0.3">
      <c r="F215" s="14"/>
    </row>
    <row r="216" spans="6:6" x14ac:dyDescent="0.3">
      <c r="F216" s="14"/>
    </row>
    <row r="217" spans="6:6" x14ac:dyDescent="0.3">
      <c r="F217" s="14"/>
    </row>
    <row r="218" spans="6:6" x14ac:dyDescent="0.3">
      <c r="F218" s="14"/>
    </row>
    <row r="219" spans="6:6" x14ac:dyDescent="0.3">
      <c r="F219" s="14"/>
    </row>
    <row r="220" spans="6:6" x14ac:dyDescent="0.3">
      <c r="F220" s="14"/>
    </row>
    <row r="221" spans="6:6" x14ac:dyDescent="0.3">
      <c r="F221" s="14"/>
    </row>
    <row r="222" spans="6:6" x14ac:dyDescent="0.3">
      <c r="F222" s="14"/>
    </row>
    <row r="223" spans="6:6" x14ac:dyDescent="0.3">
      <c r="F223" s="14"/>
    </row>
    <row r="224" spans="6:6" x14ac:dyDescent="0.3">
      <c r="F224" s="14"/>
    </row>
    <row r="225" spans="6:6" x14ac:dyDescent="0.3">
      <c r="F225" s="14"/>
    </row>
    <row r="226" spans="6:6" x14ac:dyDescent="0.3">
      <c r="F226" s="14"/>
    </row>
    <row r="227" spans="6:6" x14ac:dyDescent="0.3">
      <c r="F227" s="14"/>
    </row>
    <row r="228" spans="6:6" x14ac:dyDescent="0.3">
      <c r="F228" s="14"/>
    </row>
    <row r="229" spans="6:6" x14ac:dyDescent="0.3">
      <c r="F229" s="14"/>
    </row>
    <row r="230" spans="6:6" x14ac:dyDescent="0.3">
      <c r="F230" s="14"/>
    </row>
    <row r="231" spans="6:6" x14ac:dyDescent="0.3">
      <c r="F231" s="14"/>
    </row>
    <row r="232" spans="6:6" x14ac:dyDescent="0.3">
      <c r="F232" s="14"/>
    </row>
    <row r="233" spans="6:6" x14ac:dyDescent="0.3">
      <c r="F233" s="14"/>
    </row>
    <row r="234" spans="6:6" x14ac:dyDescent="0.3">
      <c r="F234" s="14"/>
    </row>
    <row r="235" spans="6:6" x14ac:dyDescent="0.3">
      <c r="F235" s="14"/>
    </row>
    <row r="236" spans="6:6" x14ac:dyDescent="0.3">
      <c r="F236" s="14"/>
    </row>
    <row r="237" spans="6:6" x14ac:dyDescent="0.3">
      <c r="F237" s="14"/>
    </row>
    <row r="238" spans="6:6" x14ac:dyDescent="0.3">
      <c r="F238" s="14"/>
    </row>
    <row r="239" spans="6:6" x14ac:dyDescent="0.3">
      <c r="F239" s="14"/>
    </row>
    <row r="240" spans="6:6" x14ac:dyDescent="0.3">
      <c r="F240" s="14"/>
    </row>
    <row r="241" spans="6:6" x14ac:dyDescent="0.3">
      <c r="F241" s="14"/>
    </row>
    <row r="242" spans="6:6" x14ac:dyDescent="0.3">
      <c r="F242" s="14"/>
    </row>
    <row r="243" spans="6:6" x14ac:dyDescent="0.3">
      <c r="F243" s="14"/>
    </row>
    <row r="244" spans="6:6" x14ac:dyDescent="0.3">
      <c r="F244" s="14"/>
    </row>
    <row r="245" spans="6:6" x14ac:dyDescent="0.3">
      <c r="F245" s="14"/>
    </row>
    <row r="246" spans="6:6" x14ac:dyDescent="0.3">
      <c r="F246" s="14"/>
    </row>
    <row r="247" spans="6:6" x14ac:dyDescent="0.3">
      <c r="F247" s="14"/>
    </row>
    <row r="248" spans="6:6" x14ac:dyDescent="0.3">
      <c r="F248" s="14"/>
    </row>
    <row r="249" spans="6:6" x14ac:dyDescent="0.3">
      <c r="F249" s="14"/>
    </row>
    <row r="250" spans="6:6" x14ac:dyDescent="0.3">
      <c r="F250" s="14"/>
    </row>
    <row r="251" spans="6:6" x14ac:dyDescent="0.3">
      <c r="F251" s="14"/>
    </row>
    <row r="252" spans="6:6" x14ac:dyDescent="0.3">
      <c r="F252" s="14"/>
    </row>
    <row r="253" spans="6:6" x14ac:dyDescent="0.3">
      <c r="F253" s="14"/>
    </row>
    <row r="254" spans="6:6" x14ac:dyDescent="0.3">
      <c r="F254" s="14"/>
    </row>
    <row r="255" spans="6:6" x14ac:dyDescent="0.3">
      <c r="F255" s="14"/>
    </row>
    <row r="256" spans="6:6" x14ac:dyDescent="0.3">
      <c r="F256" s="14"/>
    </row>
    <row r="257" spans="6:6" x14ac:dyDescent="0.3">
      <c r="F257" s="14"/>
    </row>
    <row r="258" spans="6:6" x14ac:dyDescent="0.3">
      <c r="F258" s="14"/>
    </row>
    <row r="259" spans="6:6" x14ac:dyDescent="0.3">
      <c r="F259" s="14"/>
    </row>
    <row r="260" spans="6:6" x14ac:dyDescent="0.3">
      <c r="F260" s="14"/>
    </row>
    <row r="261" spans="6:6" x14ac:dyDescent="0.3">
      <c r="F261" s="14"/>
    </row>
    <row r="262" spans="6:6" x14ac:dyDescent="0.3">
      <c r="F262" s="14"/>
    </row>
    <row r="263" spans="6:6" x14ac:dyDescent="0.3">
      <c r="F263" s="14"/>
    </row>
    <row r="264" spans="6:6" x14ac:dyDescent="0.3">
      <c r="F264" s="14"/>
    </row>
    <row r="265" spans="6:6" x14ac:dyDescent="0.3">
      <c r="F265" s="14"/>
    </row>
    <row r="266" spans="6:6" x14ac:dyDescent="0.3">
      <c r="F266" s="14"/>
    </row>
    <row r="267" spans="6:6" x14ac:dyDescent="0.3">
      <c r="F267" s="14"/>
    </row>
    <row r="268" spans="6:6" x14ac:dyDescent="0.3">
      <c r="F268" s="14"/>
    </row>
    <row r="269" spans="6:6" x14ac:dyDescent="0.3">
      <c r="F269" s="14"/>
    </row>
    <row r="270" spans="6:6" x14ac:dyDescent="0.3">
      <c r="F270" s="14"/>
    </row>
    <row r="271" spans="6:6" x14ac:dyDescent="0.3">
      <c r="F271" s="14"/>
    </row>
    <row r="272" spans="6:6" x14ac:dyDescent="0.3">
      <c r="F272" s="14"/>
    </row>
    <row r="273" spans="6:6" x14ac:dyDescent="0.3">
      <c r="F273" s="14"/>
    </row>
    <row r="274" spans="6:6" x14ac:dyDescent="0.3">
      <c r="F274" s="14"/>
    </row>
    <row r="275" spans="6:6" x14ac:dyDescent="0.3">
      <c r="F275" s="14"/>
    </row>
    <row r="276" spans="6:6" x14ac:dyDescent="0.3">
      <c r="F276" s="14"/>
    </row>
    <row r="277" spans="6:6" x14ac:dyDescent="0.3">
      <c r="F277" s="14"/>
    </row>
    <row r="278" spans="6:6" x14ac:dyDescent="0.3">
      <c r="F278" s="14"/>
    </row>
    <row r="279" spans="6:6" x14ac:dyDescent="0.3">
      <c r="F279" s="14"/>
    </row>
    <row r="280" spans="6:6" x14ac:dyDescent="0.3">
      <c r="F280" s="14"/>
    </row>
    <row r="281" spans="6:6" x14ac:dyDescent="0.3">
      <c r="F281" s="14"/>
    </row>
    <row r="282" spans="6:6" x14ac:dyDescent="0.3">
      <c r="F282" s="14"/>
    </row>
    <row r="283" spans="6:6" x14ac:dyDescent="0.3">
      <c r="F283" s="14"/>
    </row>
    <row r="284" spans="6:6" x14ac:dyDescent="0.3">
      <c r="F284" s="14"/>
    </row>
    <row r="285" spans="6:6" x14ac:dyDescent="0.3">
      <c r="F285" s="14"/>
    </row>
    <row r="286" spans="6:6" x14ac:dyDescent="0.3">
      <c r="F286" s="14"/>
    </row>
    <row r="287" spans="6:6" x14ac:dyDescent="0.3">
      <c r="F287" s="14"/>
    </row>
    <row r="288" spans="6:6" x14ac:dyDescent="0.3">
      <c r="F288" s="14"/>
    </row>
    <row r="289" spans="6:6" x14ac:dyDescent="0.3">
      <c r="F289" s="14"/>
    </row>
    <row r="290" spans="6:6" x14ac:dyDescent="0.3">
      <c r="F290" s="14"/>
    </row>
    <row r="291" spans="6:6" x14ac:dyDescent="0.3">
      <c r="F291" s="14"/>
    </row>
    <row r="292" spans="6:6" x14ac:dyDescent="0.3">
      <c r="F292" s="14"/>
    </row>
    <row r="293" spans="6:6" x14ac:dyDescent="0.3">
      <c r="F293" s="14"/>
    </row>
    <row r="294" spans="6:6" x14ac:dyDescent="0.3">
      <c r="F294" s="14"/>
    </row>
    <row r="295" spans="6:6" x14ac:dyDescent="0.3">
      <c r="F295" s="14"/>
    </row>
    <row r="296" spans="6:6" x14ac:dyDescent="0.3">
      <c r="F296" s="14"/>
    </row>
    <row r="297" spans="6:6" x14ac:dyDescent="0.3">
      <c r="F297" s="14"/>
    </row>
    <row r="298" spans="6:6" x14ac:dyDescent="0.3">
      <c r="F298" s="14"/>
    </row>
    <row r="299" spans="6:6" x14ac:dyDescent="0.3">
      <c r="F299" s="14"/>
    </row>
    <row r="300" spans="6:6" x14ac:dyDescent="0.3">
      <c r="F300" s="14"/>
    </row>
    <row r="301" spans="6:6" x14ac:dyDescent="0.3">
      <c r="F301" s="14"/>
    </row>
    <row r="302" spans="6:6" x14ac:dyDescent="0.3">
      <c r="F302" s="14"/>
    </row>
    <row r="303" spans="6:6" x14ac:dyDescent="0.3">
      <c r="F303" s="14"/>
    </row>
    <row r="304" spans="6:6" x14ac:dyDescent="0.3">
      <c r="F304" s="14"/>
    </row>
    <row r="305" spans="6:6" x14ac:dyDescent="0.3">
      <c r="F305" s="14"/>
    </row>
    <row r="306" spans="6:6" x14ac:dyDescent="0.3">
      <c r="F306" s="14"/>
    </row>
    <row r="307" spans="6:6" x14ac:dyDescent="0.3">
      <c r="F307" s="14"/>
    </row>
    <row r="308" spans="6:6" x14ac:dyDescent="0.3">
      <c r="F308" s="14"/>
    </row>
    <row r="309" spans="6:6" x14ac:dyDescent="0.3">
      <c r="F309" s="14"/>
    </row>
    <row r="310" spans="6:6" x14ac:dyDescent="0.3">
      <c r="F310" s="14"/>
    </row>
    <row r="311" spans="6:6" x14ac:dyDescent="0.3">
      <c r="F311" s="14"/>
    </row>
    <row r="312" spans="6:6" x14ac:dyDescent="0.3">
      <c r="F312" s="14"/>
    </row>
    <row r="313" spans="6:6" x14ac:dyDescent="0.3">
      <c r="F313" s="14"/>
    </row>
    <row r="314" spans="6:6" x14ac:dyDescent="0.3">
      <c r="F314" s="14"/>
    </row>
    <row r="315" spans="6:6" x14ac:dyDescent="0.3">
      <c r="F315" s="14"/>
    </row>
    <row r="316" spans="6:6" x14ac:dyDescent="0.3">
      <c r="F316" s="14"/>
    </row>
    <row r="317" spans="6:6" x14ac:dyDescent="0.3">
      <c r="F317" s="14"/>
    </row>
    <row r="318" spans="6:6" x14ac:dyDescent="0.3">
      <c r="F318" s="14"/>
    </row>
    <row r="319" spans="6:6" x14ac:dyDescent="0.3">
      <c r="F319" s="14"/>
    </row>
    <row r="320" spans="6:6" x14ac:dyDescent="0.3">
      <c r="F320" s="14"/>
    </row>
    <row r="321" spans="6:6" x14ac:dyDescent="0.3">
      <c r="F321" s="14"/>
    </row>
    <row r="322" spans="6:6" x14ac:dyDescent="0.3">
      <c r="F322" s="14"/>
    </row>
    <row r="323" spans="6:6" x14ac:dyDescent="0.3">
      <c r="F323" s="14"/>
    </row>
    <row r="324" spans="6:6" x14ac:dyDescent="0.3">
      <c r="F324" s="14"/>
    </row>
    <row r="325" spans="6:6" x14ac:dyDescent="0.3">
      <c r="F325" s="14"/>
    </row>
    <row r="326" spans="6:6" x14ac:dyDescent="0.3">
      <c r="F326" s="14"/>
    </row>
    <row r="327" spans="6:6" x14ac:dyDescent="0.3">
      <c r="F327" s="14"/>
    </row>
    <row r="328" spans="6:6" x14ac:dyDescent="0.3">
      <c r="F328" s="14"/>
    </row>
    <row r="329" spans="6:6" x14ac:dyDescent="0.3">
      <c r="F329" s="14"/>
    </row>
    <row r="330" spans="6:6" x14ac:dyDescent="0.3">
      <c r="F330" s="14"/>
    </row>
    <row r="331" spans="6:6" x14ac:dyDescent="0.3">
      <c r="F331" s="14"/>
    </row>
    <row r="332" spans="6:6" x14ac:dyDescent="0.3">
      <c r="F332" s="14"/>
    </row>
    <row r="333" spans="6:6" x14ac:dyDescent="0.3">
      <c r="F333" s="14"/>
    </row>
    <row r="334" spans="6:6" x14ac:dyDescent="0.3">
      <c r="F334" s="14"/>
    </row>
    <row r="335" spans="6:6" x14ac:dyDescent="0.3">
      <c r="F335" s="14"/>
    </row>
    <row r="336" spans="6:6" x14ac:dyDescent="0.3">
      <c r="F336" s="14"/>
    </row>
    <row r="337" spans="6:6" x14ac:dyDescent="0.3">
      <c r="F337" s="14"/>
    </row>
    <row r="338" spans="6:6" x14ac:dyDescent="0.3">
      <c r="F338" s="14"/>
    </row>
    <row r="339" spans="6:6" x14ac:dyDescent="0.3">
      <c r="F339" s="14"/>
    </row>
    <row r="340" spans="6:6" x14ac:dyDescent="0.3">
      <c r="F340" s="14"/>
    </row>
    <row r="341" spans="6:6" x14ac:dyDescent="0.3">
      <c r="F341" s="14"/>
    </row>
    <row r="342" spans="6:6" x14ac:dyDescent="0.3">
      <c r="F342" s="14"/>
    </row>
    <row r="343" spans="6:6" x14ac:dyDescent="0.3">
      <c r="F343" s="14"/>
    </row>
    <row r="344" spans="6:6" x14ac:dyDescent="0.3">
      <c r="F344" s="14"/>
    </row>
    <row r="345" spans="6:6" x14ac:dyDescent="0.3">
      <c r="F345" s="14"/>
    </row>
    <row r="346" spans="6:6" x14ac:dyDescent="0.3">
      <c r="F346" s="14"/>
    </row>
    <row r="347" spans="6:6" x14ac:dyDescent="0.3">
      <c r="F347" s="14"/>
    </row>
    <row r="348" spans="6:6" x14ac:dyDescent="0.3">
      <c r="F348" s="14"/>
    </row>
    <row r="349" spans="6:6" x14ac:dyDescent="0.3">
      <c r="F349" s="14"/>
    </row>
    <row r="350" spans="6:6" x14ac:dyDescent="0.3">
      <c r="F350" s="14"/>
    </row>
    <row r="351" spans="6:6" x14ac:dyDescent="0.3">
      <c r="F351" s="14"/>
    </row>
    <row r="352" spans="6:6" x14ac:dyDescent="0.3">
      <c r="F352" s="14"/>
    </row>
    <row r="353" spans="6:6" x14ac:dyDescent="0.3">
      <c r="F353" s="14"/>
    </row>
    <row r="354" spans="6:6" x14ac:dyDescent="0.3">
      <c r="F354" s="14"/>
    </row>
    <row r="355" spans="6:6" x14ac:dyDescent="0.3">
      <c r="F355" s="14"/>
    </row>
    <row r="356" spans="6:6" x14ac:dyDescent="0.3">
      <c r="F356" s="14"/>
    </row>
    <row r="357" spans="6:6" x14ac:dyDescent="0.3">
      <c r="F357" s="14"/>
    </row>
    <row r="358" spans="6:6" x14ac:dyDescent="0.3">
      <c r="F358" s="14"/>
    </row>
    <row r="359" spans="6:6" x14ac:dyDescent="0.3">
      <c r="F359" s="14"/>
    </row>
    <row r="360" spans="6:6" x14ac:dyDescent="0.3">
      <c r="F360" s="14"/>
    </row>
    <row r="361" spans="6:6" x14ac:dyDescent="0.3">
      <c r="F361" s="14"/>
    </row>
    <row r="362" spans="6:6" x14ac:dyDescent="0.3">
      <c r="F362" s="14"/>
    </row>
    <row r="363" spans="6:6" x14ac:dyDescent="0.3">
      <c r="F363" s="14"/>
    </row>
    <row r="364" spans="6:6" x14ac:dyDescent="0.3">
      <c r="F364" s="14"/>
    </row>
    <row r="365" spans="6:6" x14ac:dyDescent="0.3">
      <c r="F365" s="14"/>
    </row>
    <row r="366" spans="6:6" x14ac:dyDescent="0.3">
      <c r="F366" s="14"/>
    </row>
    <row r="367" spans="6:6" x14ac:dyDescent="0.3">
      <c r="F367" s="14"/>
    </row>
    <row r="368" spans="6:6" x14ac:dyDescent="0.3">
      <c r="F368" s="14"/>
    </row>
    <row r="369" spans="6:6" x14ac:dyDescent="0.3">
      <c r="F369" s="14"/>
    </row>
    <row r="370" spans="6:6" x14ac:dyDescent="0.3">
      <c r="F370" s="14"/>
    </row>
    <row r="371" spans="6:6" x14ac:dyDescent="0.3">
      <c r="F371" s="14"/>
    </row>
    <row r="372" spans="6:6" x14ac:dyDescent="0.3">
      <c r="F372" s="14"/>
    </row>
    <row r="373" spans="6:6" x14ac:dyDescent="0.3">
      <c r="F373" s="14"/>
    </row>
    <row r="374" spans="6:6" x14ac:dyDescent="0.3">
      <c r="F374" s="14"/>
    </row>
    <row r="375" spans="6:6" x14ac:dyDescent="0.3">
      <c r="F375" s="14"/>
    </row>
    <row r="376" spans="6:6" x14ac:dyDescent="0.3">
      <c r="F376" s="14"/>
    </row>
    <row r="377" spans="6:6" x14ac:dyDescent="0.3">
      <c r="F377" s="14"/>
    </row>
    <row r="378" spans="6:6" x14ac:dyDescent="0.3">
      <c r="F378" s="14"/>
    </row>
    <row r="379" spans="6:6" x14ac:dyDescent="0.3">
      <c r="F379" s="14"/>
    </row>
    <row r="380" spans="6:6" x14ac:dyDescent="0.3">
      <c r="F380" s="14"/>
    </row>
    <row r="381" spans="6:6" x14ac:dyDescent="0.3">
      <c r="F381" s="14"/>
    </row>
    <row r="382" spans="6:6" x14ac:dyDescent="0.3">
      <c r="F382" s="14"/>
    </row>
    <row r="383" spans="6:6" x14ac:dyDescent="0.3">
      <c r="F383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DC53-D2F1-456C-807B-AE52A96684FE}">
  <sheetPr codeName="Sheet3"/>
  <dimension ref="B1:M42"/>
  <sheetViews>
    <sheetView workbookViewId="0">
      <selection activeCell="D17" sqref="D17"/>
    </sheetView>
  </sheetViews>
  <sheetFormatPr defaultColWidth="9" defaultRowHeight="14.4" x14ac:dyDescent="0.3"/>
  <cols>
    <col min="2" max="2" width="9.77734375" customWidth="1"/>
    <col min="3" max="3" width="13.44140625" customWidth="1"/>
    <col min="4" max="4" width="13.109375" customWidth="1"/>
    <col min="5" max="5" width="17.77734375" customWidth="1"/>
    <col min="8" max="8" width="15.33203125" customWidth="1"/>
    <col min="9" max="9" width="16.109375" customWidth="1"/>
    <col min="10" max="10" width="16.44140625" customWidth="1"/>
    <col min="11" max="11" width="14.44140625" customWidth="1"/>
    <col min="12" max="12" width="16" customWidth="1"/>
    <col min="13" max="13" width="15.77734375" customWidth="1"/>
    <col min="14" max="14" width="9.6640625" customWidth="1"/>
    <col min="15" max="15" width="10.44140625" customWidth="1"/>
    <col min="16" max="16" width="12.44140625" customWidth="1"/>
    <col min="17" max="17" width="10.109375" customWidth="1"/>
  </cols>
  <sheetData>
    <row r="1" spans="2:13" ht="15" thickBot="1" x14ac:dyDescent="0.35">
      <c r="M1" s="8"/>
    </row>
    <row r="2" spans="2:13" x14ac:dyDescent="0.3">
      <c r="B2" s="2"/>
      <c r="C2" s="3" t="s">
        <v>0</v>
      </c>
      <c r="D2" s="3" t="s">
        <v>1</v>
      </c>
      <c r="E2" s="4" t="s">
        <v>4</v>
      </c>
      <c r="G2" s="10" t="s">
        <v>5</v>
      </c>
      <c r="H2" s="11"/>
      <c r="I2" s="11"/>
      <c r="J2" s="11"/>
      <c r="K2" s="11"/>
      <c r="L2" s="11"/>
      <c r="M2" s="12"/>
    </row>
    <row r="3" spans="2:13" x14ac:dyDescent="0.3">
      <c r="B3" s="5" t="s">
        <v>2</v>
      </c>
      <c r="C3">
        <v>89</v>
      </c>
      <c r="D3">
        <v>1</v>
      </c>
      <c r="E3" s="6" t="str">
        <f>IF(C3+D3=90, "OK", "Erreur : Doit être 90")</f>
        <v>OK</v>
      </c>
      <c r="G3" s="5" t="s">
        <v>17</v>
      </c>
      <c r="H3" t="s">
        <v>12</v>
      </c>
      <c r="I3" t="s">
        <v>13</v>
      </c>
      <c r="J3" t="s">
        <v>14</v>
      </c>
      <c r="K3" t="s">
        <v>15</v>
      </c>
      <c r="L3" t="s">
        <v>16</v>
      </c>
      <c r="M3" s="13" t="s">
        <v>18</v>
      </c>
    </row>
    <row r="4" spans="2:13" ht="15" thickBot="1" x14ac:dyDescent="0.35">
      <c r="B4" s="7" t="s">
        <v>3</v>
      </c>
      <c r="C4" s="8">
        <v>89</v>
      </c>
      <c r="D4" s="8">
        <v>1</v>
      </c>
      <c r="E4" s="9" t="str">
        <f>IF(C4+D4=90, "OK", "Erreur : Doit être 90")</f>
        <v>OK</v>
      </c>
      <c r="G4" s="5">
        <f>IF(AND($E$3 = "OK", $E$4 = "OK"), 1, "")</f>
        <v>1</v>
      </c>
      <c r="H4">
        <f ca="1">IF(AND($E$3 = "OK", $E$4 = "OK"), (C3 * 0.7) + ($D$7 * 0.4), "")</f>
        <v>67.940634402710458</v>
      </c>
      <c r="I4">
        <f ca="1">IF(AND($E$3 = "OK", $E$4 = "OK"), (C4 * 0.7) + ($D$8 * 0.4), "")</f>
        <v>74.630152872312337</v>
      </c>
      <c r="J4" s="18" t="str">
        <f ca="1">IF(AND($E$3 = "OK", $E$4 = "OK"), IF(H4&gt;I4, "J1", "J2"), "")</f>
        <v>J2</v>
      </c>
      <c r="K4">
        <f ca="1">IF(AND($E$3 = "OK", $E$4 = "OK"), IF(H4&gt;I4, C3 + ( H4-I4), C3 - ( I4-H4)), "")</f>
        <v>82.310481530398121</v>
      </c>
      <c r="L4">
        <f ca="1">IF(AND(E3 = "OK", E4 = "OK"), IF(H4&lt;I4, C4 + ( I4-H4), C4 - ( H4-I4)), "")</f>
        <v>95.689518469601879</v>
      </c>
      <c r="M4" s="19" t="str">
        <f ca="1">IF(AND($E$3 = "OK", $E$4 = "OK"), IF(OR(K4&lt;=0, L4&lt;=0), "Arret", "Continuer"), "")</f>
        <v>Continuer</v>
      </c>
    </row>
    <row r="5" spans="2:13" x14ac:dyDescent="0.3">
      <c r="G5" s="5">
        <f ca="1">IF(M4 = "Continuer", G4+1, "")</f>
        <v>2</v>
      </c>
      <c r="H5">
        <f ca="1">IF(M4 = "Continuer", (K4 * 0.7) + ($D$7 * 0.4), "")</f>
        <v>63.257971473989151</v>
      </c>
      <c r="I5">
        <f ca="1">IF(M4 = "Continuer", (L4 * 0.7) + ($D$8 * 0.4), "")</f>
        <v>79.312815801033651</v>
      </c>
      <c r="J5" s="18" t="str">
        <f ca="1">IF(M4 = "Continuer", IF(H5&gt;I5, "J1", "J2"), "")</f>
        <v>J2</v>
      </c>
      <c r="K5">
        <f ca="1">IF(M4 = "Continuer", IF(H5&gt;I5, K4 + ( H5-I5), K4 - ( I5-H5)), "")</f>
        <v>66.255637203353615</v>
      </c>
      <c r="L5">
        <f ca="1">IF(M4 = "Continuer", IF(H5&lt;I5, L4 + ( I5-H5), L4 - ( H5-I5)), "")</f>
        <v>111.74436279664639</v>
      </c>
      <c r="M5" s="19" t="str">
        <f ca="1">IF(M4 = "Continuer", IF(OR(K5&lt;=0, L5&lt;=0), "Arret", "Continuer"), "")</f>
        <v>Continuer</v>
      </c>
    </row>
    <row r="6" spans="2:13" x14ac:dyDescent="0.3">
      <c r="C6" s="1" t="s">
        <v>6</v>
      </c>
      <c r="D6" s="1" t="s">
        <v>7</v>
      </c>
      <c r="G6" s="5">
        <f t="shared" ref="G6:G42" ca="1" si="0">IF(M5 = "Continuer", G5+1, "")</f>
        <v>3</v>
      </c>
      <c r="H6">
        <f t="shared" ref="H6:H42" ca="1" si="1">IF(M5 = "Continuer", (K5 * 0.7) + ($D$7 * 0.4), "")</f>
        <v>52.019580445057997</v>
      </c>
      <c r="I6">
        <f t="shared" ref="I6:I42" ca="1" si="2">IF(M5 = "Continuer", (L5 * 0.7) + ($D$8 * 0.4), "")</f>
        <v>90.551206829964798</v>
      </c>
      <c r="J6" s="18" t="str">
        <f t="shared" ref="J6:J42" ca="1" si="3">IF(M5 = "Continuer", IF(H6&gt;I6, "J1", "J2"), "")</f>
        <v>J2</v>
      </c>
      <c r="K6">
        <f t="shared" ref="K6:K42" ca="1" si="4">IF(M5 = "Continuer", IF(H6&gt;I6, K5 + ( H6-I6), K5 - ( I6-H6)), "")</f>
        <v>27.724010818446814</v>
      </c>
      <c r="L6">
        <f t="shared" ref="L6:L42" ca="1" si="5">IF(M5 = "Continuer", IF(H6&lt;I6, L5 + ( I6-H6), L5 - ( H6-I6)), "")</f>
        <v>150.2759891815532</v>
      </c>
      <c r="M6" s="19" t="str">
        <f t="shared" ref="M6:M42" ca="1" si="6">IF(M5 = "Continuer", IF(OR(K6&lt;=0, L6&lt;=0), "Arret", "Continuer"), "")</f>
        <v>Continuer</v>
      </c>
    </row>
    <row r="7" spans="2:13" x14ac:dyDescent="0.3">
      <c r="B7" t="s">
        <v>2</v>
      </c>
      <c r="C7">
        <f ca="1">IF(AND(E3 = "OK", E4 = "OK"), _xlfn.NORM.INV(RAND(), 40, 25), "")</f>
        <v>27.203172013552333</v>
      </c>
      <c r="D7">
        <f ca="1">IF(NOT(C7 = ""), (C7 + D3) / 2, "")</f>
        <v>14.101586006776166</v>
      </c>
      <c r="G7" s="5">
        <f t="shared" ca="1" si="0"/>
        <v>4</v>
      </c>
      <c r="H7">
        <f t="shared" ca="1" si="1"/>
        <v>25.047441975623236</v>
      </c>
      <c r="I7">
        <f t="shared" ca="1" si="2"/>
        <v>117.52334529939958</v>
      </c>
      <c r="J7" s="18" t="str">
        <f t="shared" ca="1" si="3"/>
        <v>J2</v>
      </c>
      <c r="K7">
        <f t="shared" ca="1" si="4"/>
        <v>-64.751892505329536</v>
      </c>
      <c r="L7">
        <f t="shared" ca="1" si="5"/>
        <v>242.75189250532955</v>
      </c>
      <c r="M7" s="19" t="str">
        <f t="shared" ca="1" si="6"/>
        <v>Arret</v>
      </c>
    </row>
    <row r="8" spans="2:13" x14ac:dyDescent="0.3">
      <c r="B8" t="s">
        <v>3</v>
      </c>
      <c r="C8">
        <f ca="1">IF(AND(E3 = "OK", E4 = "OK"), _xlfn.NORM.INV(RAND(), 40, 25), "")</f>
        <v>60.65076436156167</v>
      </c>
      <c r="D8">
        <f ca="1">IF(NOT(C8 = ""), (C8 + D4) / 2, "")</f>
        <v>30.825382180780835</v>
      </c>
      <c r="G8" s="5" t="str">
        <f t="shared" ca="1" si="0"/>
        <v/>
      </c>
      <c r="H8" t="str">
        <f t="shared" ca="1" si="1"/>
        <v/>
      </c>
      <c r="I8" t="str">
        <f t="shared" ca="1" si="2"/>
        <v/>
      </c>
      <c r="J8" s="18" t="str">
        <f t="shared" ca="1" si="3"/>
        <v/>
      </c>
      <c r="K8" t="str">
        <f t="shared" ca="1" si="4"/>
        <v/>
      </c>
      <c r="L8" t="str">
        <f t="shared" ca="1" si="5"/>
        <v/>
      </c>
      <c r="M8" s="19" t="str">
        <f t="shared" ca="1" si="6"/>
        <v/>
      </c>
    </row>
    <row r="9" spans="2:13" x14ac:dyDescent="0.3">
      <c r="G9" s="5" t="str">
        <f t="shared" ca="1" si="0"/>
        <v/>
      </c>
      <c r="H9" t="str">
        <f t="shared" ca="1" si="1"/>
        <v/>
      </c>
      <c r="I9" t="str">
        <f t="shared" ca="1" si="2"/>
        <v/>
      </c>
      <c r="J9" s="18" t="str">
        <f t="shared" ca="1" si="3"/>
        <v/>
      </c>
      <c r="K9" t="str">
        <f t="shared" ca="1" si="4"/>
        <v/>
      </c>
      <c r="L9" t="str">
        <f t="shared" ca="1" si="5"/>
        <v/>
      </c>
      <c r="M9" s="19" t="str">
        <f t="shared" ca="1" si="6"/>
        <v/>
      </c>
    </row>
    <row r="10" spans="2:13" x14ac:dyDescent="0.3">
      <c r="G10" s="5" t="str">
        <f t="shared" ca="1" si="0"/>
        <v/>
      </c>
      <c r="H10" t="str">
        <f t="shared" ca="1" si="1"/>
        <v/>
      </c>
      <c r="I10" t="str">
        <f t="shared" ca="1" si="2"/>
        <v/>
      </c>
      <c r="J10" s="18" t="str">
        <f t="shared" ca="1" si="3"/>
        <v/>
      </c>
      <c r="K10" t="str">
        <f t="shared" ca="1" si="4"/>
        <v/>
      </c>
      <c r="L10" t="str">
        <f t="shared" ca="1" si="5"/>
        <v/>
      </c>
      <c r="M10" s="19" t="str">
        <f t="shared" ca="1" si="6"/>
        <v/>
      </c>
    </row>
    <row r="11" spans="2:13" x14ac:dyDescent="0.3">
      <c r="G11" s="5" t="str">
        <f t="shared" ca="1" si="0"/>
        <v/>
      </c>
      <c r="H11" t="str">
        <f t="shared" ca="1" si="1"/>
        <v/>
      </c>
      <c r="I11" t="str">
        <f t="shared" ca="1" si="2"/>
        <v/>
      </c>
      <c r="J11" s="18" t="str">
        <f t="shared" ca="1" si="3"/>
        <v/>
      </c>
      <c r="K11" t="str">
        <f t="shared" ca="1" si="4"/>
        <v/>
      </c>
      <c r="L11" t="str">
        <f t="shared" ca="1" si="5"/>
        <v/>
      </c>
      <c r="M11" s="19" t="str">
        <f t="shared" ca="1" si="6"/>
        <v/>
      </c>
    </row>
    <row r="12" spans="2:13" x14ac:dyDescent="0.3">
      <c r="G12" s="5" t="str">
        <f t="shared" ca="1" si="0"/>
        <v/>
      </c>
      <c r="H12" t="str">
        <f t="shared" ca="1" si="1"/>
        <v/>
      </c>
      <c r="I12" t="str">
        <f t="shared" ca="1" si="2"/>
        <v/>
      </c>
      <c r="J12" s="18" t="str">
        <f t="shared" ca="1" si="3"/>
        <v/>
      </c>
      <c r="K12" t="str">
        <f t="shared" ca="1" si="4"/>
        <v/>
      </c>
      <c r="L12" t="str">
        <f t="shared" ca="1" si="5"/>
        <v/>
      </c>
      <c r="M12" s="19" t="str">
        <f t="shared" ca="1" si="6"/>
        <v/>
      </c>
    </row>
    <row r="13" spans="2:13" x14ac:dyDescent="0.3">
      <c r="G13" s="5" t="str">
        <f t="shared" ca="1" si="0"/>
        <v/>
      </c>
      <c r="H13" t="str">
        <f t="shared" ca="1" si="1"/>
        <v/>
      </c>
      <c r="I13" t="str">
        <f t="shared" ca="1" si="2"/>
        <v/>
      </c>
      <c r="J13" s="18" t="str">
        <f t="shared" ca="1" si="3"/>
        <v/>
      </c>
      <c r="K13" t="str">
        <f t="shared" ca="1" si="4"/>
        <v/>
      </c>
      <c r="L13" t="str">
        <f t="shared" ca="1" si="5"/>
        <v/>
      </c>
      <c r="M13" s="19" t="str">
        <f t="shared" ca="1" si="6"/>
        <v/>
      </c>
    </row>
    <row r="14" spans="2:13" x14ac:dyDescent="0.3">
      <c r="G14" s="5" t="str">
        <f t="shared" ca="1" si="0"/>
        <v/>
      </c>
      <c r="H14" t="str">
        <f t="shared" ca="1" si="1"/>
        <v/>
      </c>
      <c r="I14" t="str">
        <f t="shared" ca="1" si="2"/>
        <v/>
      </c>
      <c r="J14" s="18" t="str">
        <f t="shared" ca="1" si="3"/>
        <v/>
      </c>
      <c r="K14" t="str">
        <f t="shared" ca="1" si="4"/>
        <v/>
      </c>
      <c r="L14" t="str">
        <f t="shared" ca="1" si="5"/>
        <v/>
      </c>
      <c r="M14" s="19" t="str">
        <f t="shared" ca="1" si="6"/>
        <v/>
      </c>
    </row>
    <row r="15" spans="2:13" x14ac:dyDescent="0.3">
      <c r="G15" s="5" t="str">
        <f t="shared" ca="1" si="0"/>
        <v/>
      </c>
      <c r="H15" t="str">
        <f t="shared" ca="1" si="1"/>
        <v/>
      </c>
      <c r="I15" t="str">
        <f t="shared" ca="1" si="2"/>
        <v/>
      </c>
      <c r="J15" s="18" t="str">
        <f t="shared" ca="1" si="3"/>
        <v/>
      </c>
      <c r="K15" t="str">
        <f t="shared" ca="1" si="4"/>
        <v/>
      </c>
      <c r="L15" t="str">
        <f t="shared" ca="1" si="5"/>
        <v/>
      </c>
      <c r="M15" s="19" t="str">
        <f t="shared" ca="1" si="6"/>
        <v/>
      </c>
    </row>
    <row r="16" spans="2:13" x14ac:dyDescent="0.3">
      <c r="G16" s="5" t="str">
        <f t="shared" ca="1" si="0"/>
        <v/>
      </c>
      <c r="H16" t="str">
        <f t="shared" ca="1" si="1"/>
        <v/>
      </c>
      <c r="I16" t="str">
        <f t="shared" ca="1" si="2"/>
        <v/>
      </c>
      <c r="J16" s="18" t="str">
        <f t="shared" ca="1" si="3"/>
        <v/>
      </c>
      <c r="K16" t="str">
        <f t="shared" ca="1" si="4"/>
        <v/>
      </c>
      <c r="L16" t="str">
        <f t="shared" ca="1" si="5"/>
        <v/>
      </c>
      <c r="M16" s="19" t="str">
        <f t="shared" ca="1" si="6"/>
        <v/>
      </c>
    </row>
    <row r="17" spans="7:13" x14ac:dyDescent="0.3">
      <c r="G17" s="5" t="str">
        <f t="shared" ca="1" si="0"/>
        <v/>
      </c>
      <c r="H17" t="str">
        <f t="shared" ca="1" si="1"/>
        <v/>
      </c>
      <c r="I17" t="str">
        <f t="shared" ca="1" si="2"/>
        <v/>
      </c>
      <c r="J17" s="18" t="str">
        <f t="shared" ca="1" si="3"/>
        <v/>
      </c>
      <c r="K17" t="str">
        <f t="shared" ca="1" si="4"/>
        <v/>
      </c>
      <c r="L17" t="str">
        <f t="shared" ca="1" si="5"/>
        <v/>
      </c>
      <c r="M17" s="19" t="str">
        <f t="shared" ca="1" si="6"/>
        <v/>
      </c>
    </row>
    <row r="18" spans="7:13" x14ac:dyDescent="0.3">
      <c r="G18" s="5" t="str">
        <f t="shared" ca="1" si="0"/>
        <v/>
      </c>
      <c r="H18" t="str">
        <f t="shared" ca="1" si="1"/>
        <v/>
      </c>
      <c r="I18" t="str">
        <f t="shared" ca="1" si="2"/>
        <v/>
      </c>
      <c r="J18" s="18" t="str">
        <f t="shared" ca="1" si="3"/>
        <v/>
      </c>
      <c r="K18" t="str">
        <f t="shared" ca="1" si="4"/>
        <v/>
      </c>
      <c r="L18" t="str">
        <f t="shared" ca="1" si="5"/>
        <v/>
      </c>
      <c r="M18" s="19" t="str">
        <f t="shared" ca="1" si="6"/>
        <v/>
      </c>
    </row>
    <row r="19" spans="7:13" x14ac:dyDescent="0.3">
      <c r="G19" s="5" t="str">
        <f t="shared" ca="1" si="0"/>
        <v/>
      </c>
      <c r="H19" t="str">
        <f t="shared" ca="1" si="1"/>
        <v/>
      </c>
      <c r="I19" t="str">
        <f t="shared" ca="1" si="2"/>
        <v/>
      </c>
      <c r="J19" s="18" t="str">
        <f t="shared" ca="1" si="3"/>
        <v/>
      </c>
      <c r="K19" t="str">
        <f t="shared" ca="1" si="4"/>
        <v/>
      </c>
      <c r="L19" t="str">
        <f t="shared" ca="1" si="5"/>
        <v/>
      </c>
      <c r="M19" s="19" t="str">
        <f t="shared" ca="1" si="6"/>
        <v/>
      </c>
    </row>
    <row r="20" spans="7:13" x14ac:dyDescent="0.3">
      <c r="G20" s="5" t="str">
        <f t="shared" ca="1" si="0"/>
        <v/>
      </c>
      <c r="H20" t="str">
        <f t="shared" ca="1" si="1"/>
        <v/>
      </c>
      <c r="I20" t="str">
        <f t="shared" ca="1" si="2"/>
        <v/>
      </c>
      <c r="J20" s="18" t="str">
        <f t="shared" ca="1" si="3"/>
        <v/>
      </c>
      <c r="K20" t="str">
        <f t="shared" ca="1" si="4"/>
        <v/>
      </c>
      <c r="L20" t="str">
        <f t="shared" ca="1" si="5"/>
        <v/>
      </c>
      <c r="M20" s="19" t="str">
        <f t="shared" ca="1" si="6"/>
        <v/>
      </c>
    </row>
    <row r="21" spans="7:13" x14ac:dyDescent="0.3">
      <c r="G21" s="5" t="str">
        <f t="shared" ca="1" si="0"/>
        <v/>
      </c>
      <c r="H21" t="str">
        <f t="shared" ca="1" si="1"/>
        <v/>
      </c>
      <c r="I21" t="str">
        <f t="shared" ca="1" si="2"/>
        <v/>
      </c>
      <c r="J21" s="18" t="str">
        <f t="shared" ca="1" si="3"/>
        <v/>
      </c>
      <c r="K21" t="str">
        <f t="shared" ca="1" si="4"/>
        <v/>
      </c>
      <c r="L21" t="str">
        <f t="shared" ca="1" si="5"/>
        <v/>
      </c>
      <c r="M21" s="19" t="str">
        <f t="shared" ca="1" si="6"/>
        <v/>
      </c>
    </row>
    <row r="22" spans="7:13" x14ac:dyDescent="0.3">
      <c r="G22" s="5" t="str">
        <f t="shared" ca="1" si="0"/>
        <v/>
      </c>
      <c r="H22" t="str">
        <f t="shared" ca="1" si="1"/>
        <v/>
      </c>
      <c r="I22" t="str">
        <f t="shared" ca="1" si="2"/>
        <v/>
      </c>
      <c r="J22" s="18" t="str">
        <f t="shared" ca="1" si="3"/>
        <v/>
      </c>
      <c r="K22" t="str">
        <f t="shared" ca="1" si="4"/>
        <v/>
      </c>
      <c r="L22" t="str">
        <f t="shared" ca="1" si="5"/>
        <v/>
      </c>
      <c r="M22" s="19" t="str">
        <f t="shared" ca="1" si="6"/>
        <v/>
      </c>
    </row>
    <row r="23" spans="7:13" x14ac:dyDescent="0.3">
      <c r="G23" s="5" t="str">
        <f t="shared" ca="1" si="0"/>
        <v/>
      </c>
      <c r="H23" t="str">
        <f t="shared" ca="1" si="1"/>
        <v/>
      </c>
      <c r="I23" t="str">
        <f t="shared" ca="1" si="2"/>
        <v/>
      </c>
      <c r="J23" s="18" t="str">
        <f t="shared" ca="1" si="3"/>
        <v/>
      </c>
      <c r="K23" t="str">
        <f t="shared" ca="1" si="4"/>
        <v/>
      </c>
      <c r="L23" t="str">
        <f t="shared" ca="1" si="5"/>
        <v/>
      </c>
      <c r="M23" s="19" t="str">
        <f t="shared" ca="1" si="6"/>
        <v/>
      </c>
    </row>
    <row r="24" spans="7:13" x14ac:dyDescent="0.3">
      <c r="G24" s="5" t="str">
        <f t="shared" ca="1" si="0"/>
        <v/>
      </c>
      <c r="H24" t="str">
        <f t="shared" ca="1" si="1"/>
        <v/>
      </c>
      <c r="I24" t="str">
        <f t="shared" ca="1" si="2"/>
        <v/>
      </c>
      <c r="J24" s="18" t="str">
        <f t="shared" ca="1" si="3"/>
        <v/>
      </c>
      <c r="K24" t="str">
        <f t="shared" ca="1" si="4"/>
        <v/>
      </c>
      <c r="L24" t="str">
        <f t="shared" ca="1" si="5"/>
        <v/>
      </c>
      <c r="M24" s="19" t="str">
        <f t="shared" ca="1" si="6"/>
        <v/>
      </c>
    </row>
    <row r="25" spans="7:13" x14ac:dyDescent="0.3">
      <c r="G25" s="5" t="str">
        <f t="shared" ca="1" si="0"/>
        <v/>
      </c>
      <c r="H25" t="str">
        <f t="shared" ca="1" si="1"/>
        <v/>
      </c>
      <c r="I25" t="str">
        <f t="shared" ca="1" si="2"/>
        <v/>
      </c>
      <c r="J25" s="18" t="str">
        <f t="shared" ca="1" si="3"/>
        <v/>
      </c>
      <c r="K25" t="str">
        <f t="shared" ca="1" si="4"/>
        <v/>
      </c>
      <c r="L25" t="str">
        <f t="shared" ca="1" si="5"/>
        <v/>
      </c>
      <c r="M25" s="19" t="str">
        <f t="shared" ca="1" si="6"/>
        <v/>
      </c>
    </row>
    <row r="26" spans="7:13" x14ac:dyDescent="0.3">
      <c r="G26" s="5" t="str">
        <f t="shared" ca="1" si="0"/>
        <v/>
      </c>
      <c r="H26" t="str">
        <f t="shared" ca="1" si="1"/>
        <v/>
      </c>
      <c r="I26" t="str">
        <f t="shared" ca="1" si="2"/>
        <v/>
      </c>
      <c r="J26" s="18" t="str">
        <f t="shared" ca="1" si="3"/>
        <v/>
      </c>
      <c r="K26" t="str">
        <f t="shared" ca="1" si="4"/>
        <v/>
      </c>
      <c r="L26" t="str">
        <f t="shared" ca="1" si="5"/>
        <v/>
      </c>
      <c r="M26" s="19" t="str">
        <f t="shared" ca="1" si="6"/>
        <v/>
      </c>
    </row>
    <row r="27" spans="7:13" x14ac:dyDescent="0.3">
      <c r="G27" s="5" t="str">
        <f t="shared" ca="1" si="0"/>
        <v/>
      </c>
      <c r="H27" t="str">
        <f t="shared" ca="1" si="1"/>
        <v/>
      </c>
      <c r="I27" t="str">
        <f t="shared" ca="1" si="2"/>
        <v/>
      </c>
      <c r="J27" s="18" t="str">
        <f t="shared" ca="1" si="3"/>
        <v/>
      </c>
      <c r="K27" t="str">
        <f t="shared" ca="1" si="4"/>
        <v/>
      </c>
      <c r="L27" t="str">
        <f t="shared" ca="1" si="5"/>
        <v/>
      </c>
      <c r="M27" s="19" t="str">
        <f t="shared" ca="1" si="6"/>
        <v/>
      </c>
    </row>
    <row r="28" spans="7:13" x14ac:dyDescent="0.3">
      <c r="G28" s="5" t="str">
        <f t="shared" ca="1" si="0"/>
        <v/>
      </c>
      <c r="H28" t="str">
        <f t="shared" ca="1" si="1"/>
        <v/>
      </c>
      <c r="I28" t="str">
        <f t="shared" ca="1" si="2"/>
        <v/>
      </c>
      <c r="J28" s="18" t="str">
        <f t="shared" ca="1" si="3"/>
        <v/>
      </c>
      <c r="K28" t="str">
        <f t="shared" ca="1" si="4"/>
        <v/>
      </c>
      <c r="L28" t="str">
        <f t="shared" ca="1" si="5"/>
        <v/>
      </c>
      <c r="M28" s="19" t="str">
        <f t="shared" ca="1" si="6"/>
        <v/>
      </c>
    </row>
    <row r="29" spans="7:13" x14ac:dyDescent="0.3">
      <c r="G29" s="5" t="str">
        <f t="shared" ca="1" si="0"/>
        <v/>
      </c>
      <c r="H29" t="str">
        <f t="shared" ca="1" si="1"/>
        <v/>
      </c>
      <c r="I29" t="str">
        <f t="shared" ca="1" si="2"/>
        <v/>
      </c>
      <c r="J29" s="18" t="str">
        <f t="shared" ca="1" si="3"/>
        <v/>
      </c>
      <c r="K29" t="str">
        <f t="shared" ca="1" si="4"/>
        <v/>
      </c>
      <c r="L29" t="str">
        <f t="shared" ca="1" si="5"/>
        <v/>
      </c>
      <c r="M29" s="19" t="str">
        <f t="shared" ca="1" si="6"/>
        <v/>
      </c>
    </row>
    <row r="30" spans="7:13" x14ac:dyDescent="0.3">
      <c r="G30" s="5" t="str">
        <f t="shared" ca="1" si="0"/>
        <v/>
      </c>
      <c r="H30" t="str">
        <f t="shared" ca="1" si="1"/>
        <v/>
      </c>
      <c r="I30" t="str">
        <f t="shared" ca="1" si="2"/>
        <v/>
      </c>
      <c r="J30" s="18" t="str">
        <f t="shared" ca="1" si="3"/>
        <v/>
      </c>
      <c r="K30" t="str">
        <f t="shared" ca="1" si="4"/>
        <v/>
      </c>
      <c r="L30" t="str">
        <f t="shared" ca="1" si="5"/>
        <v/>
      </c>
      <c r="M30" s="19" t="str">
        <f t="shared" ca="1" si="6"/>
        <v/>
      </c>
    </row>
    <row r="31" spans="7:13" x14ac:dyDescent="0.3">
      <c r="G31" s="5" t="str">
        <f t="shared" ca="1" si="0"/>
        <v/>
      </c>
      <c r="H31" t="str">
        <f t="shared" ca="1" si="1"/>
        <v/>
      </c>
      <c r="I31" t="str">
        <f t="shared" ca="1" si="2"/>
        <v/>
      </c>
      <c r="J31" s="18" t="str">
        <f t="shared" ca="1" si="3"/>
        <v/>
      </c>
      <c r="K31" t="str">
        <f t="shared" ca="1" si="4"/>
        <v/>
      </c>
      <c r="L31" t="str">
        <f t="shared" ca="1" si="5"/>
        <v/>
      </c>
      <c r="M31" s="19" t="str">
        <f t="shared" ca="1" si="6"/>
        <v/>
      </c>
    </row>
    <row r="32" spans="7:13" x14ac:dyDescent="0.3">
      <c r="G32" s="5" t="str">
        <f t="shared" ca="1" si="0"/>
        <v/>
      </c>
      <c r="H32" t="str">
        <f t="shared" ca="1" si="1"/>
        <v/>
      </c>
      <c r="I32" t="str">
        <f t="shared" ca="1" si="2"/>
        <v/>
      </c>
      <c r="J32" s="18" t="str">
        <f t="shared" ca="1" si="3"/>
        <v/>
      </c>
      <c r="K32" t="str">
        <f t="shared" ca="1" si="4"/>
        <v/>
      </c>
      <c r="L32" t="str">
        <f t="shared" ca="1" si="5"/>
        <v/>
      </c>
      <c r="M32" s="19" t="str">
        <f t="shared" ca="1" si="6"/>
        <v/>
      </c>
    </row>
    <row r="33" spans="7:13" x14ac:dyDescent="0.3">
      <c r="G33" s="5" t="str">
        <f t="shared" ca="1" si="0"/>
        <v/>
      </c>
      <c r="H33" t="str">
        <f t="shared" ca="1" si="1"/>
        <v/>
      </c>
      <c r="I33" t="str">
        <f t="shared" ca="1" si="2"/>
        <v/>
      </c>
      <c r="J33" s="18" t="str">
        <f t="shared" ca="1" si="3"/>
        <v/>
      </c>
      <c r="K33" t="str">
        <f t="shared" ca="1" si="4"/>
        <v/>
      </c>
      <c r="L33" t="str">
        <f t="shared" ca="1" si="5"/>
        <v/>
      </c>
      <c r="M33" s="19" t="str">
        <f t="shared" ca="1" si="6"/>
        <v/>
      </c>
    </row>
    <row r="34" spans="7:13" x14ac:dyDescent="0.3">
      <c r="G34" s="5" t="str">
        <f t="shared" ca="1" si="0"/>
        <v/>
      </c>
      <c r="H34" t="str">
        <f t="shared" ca="1" si="1"/>
        <v/>
      </c>
      <c r="I34" t="str">
        <f t="shared" ca="1" si="2"/>
        <v/>
      </c>
      <c r="J34" s="18" t="str">
        <f t="shared" ca="1" si="3"/>
        <v/>
      </c>
      <c r="K34" t="str">
        <f t="shared" ca="1" si="4"/>
        <v/>
      </c>
      <c r="L34" t="str">
        <f t="shared" ca="1" si="5"/>
        <v/>
      </c>
      <c r="M34" s="19" t="str">
        <f t="shared" ca="1" si="6"/>
        <v/>
      </c>
    </row>
    <row r="35" spans="7:13" x14ac:dyDescent="0.3">
      <c r="G35" s="5" t="str">
        <f t="shared" ca="1" si="0"/>
        <v/>
      </c>
      <c r="H35" t="str">
        <f t="shared" ca="1" si="1"/>
        <v/>
      </c>
      <c r="I35" t="str">
        <f t="shared" ca="1" si="2"/>
        <v/>
      </c>
      <c r="J35" s="18" t="str">
        <f t="shared" ca="1" si="3"/>
        <v/>
      </c>
      <c r="K35" t="str">
        <f t="shared" ca="1" si="4"/>
        <v/>
      </c>
      <c r="L35" t="str">
        <f t="shared" ca="1" si="5"/>
        <v/>
      </c>
      <c r="M35" s="19" t="str">
        <f t="shared" ca="1" si="6"/>
        <v/>
      </c>
    </row>
    <row r="36" spans="7:13" x14ac:dyDescent="0.3">
      <c r="G36" s="5" t="str">
        <f t="shared" ca="1" si="0"/>
        <v/>
      </c>
      <c r="H36" t="str">
        <f t="shared" ca="1" si="1"/>
        <v/>
      </c>
      <c r="I36" t="str">
        <f t="shared" ca="1" si="2"/>
        <v/>
      </c>
      <c r="J36" s="18" t="str">
        <f t="shared" ca="1" si="3"/>
        <v/>
      </c>
      <c r="K36" t="str">
        <f t="shared" ca="1" si="4"/>
        <v/>
      </c>
      <c r="L36" t="str">
        <f t="shared" ca="1" si="5"/>
        <v/>
      </c>
      <c r="M36" s="19" t="str">
        <f t="shared" ca="1" si="6"/>
        <v/>
      </c>
    </row>
    <row r="37" spans="7:13" x14ac:dyDescent="0.3">
      <c r="G37" s="5" t="str">
        <f t="shared" ca="1" si="0"/>
        <v/>
      </c>
      <c r="H37" t="str">
        <f t="shared" ca="1" si="1"/>
        <v/>
      </c>
      <c r="I37" t="str">
        <f t="shared" ca="1" si="2"/>
        <v/>
      </c>
      <c r="J37" s="18" t="str">
        <f t="shared" ca="1" si="3"/>
        <v/>
      </c>
      <c r="K37" t="str">
        <f t="shared" ca="1" si="4"/>
        <v/>
      </c>
      <c r="L37" t="str">
        <f t="shared" ca="1" si="5"/>
        <v/>
      </c>
      <c r="M37" s="19" t="str">
        <f t="shared" ca="1" si="6"/>
        <v/>
      </c>
    </row>
    <row r="38" spans="7:13" x14ac:dyDescent="0.3">
      <c r="G38" s="5" t="str">
        <f t="shared" ca="1" si="0"/>
        <v/>
      </c>
      <c r="H38" t="str">
        <f t="shared" ca="1" si="1"/>
        <v/>
      </c>
      <c r="I38" t="str">
        <f t="shared" ca="1" si="2"/>
        <v/>
      </c>
      <c r="J38" s="18" t="str">
        <f t="shared" ca="1" si="3"/>
        <v/>
      </c>
      <c r="K38" t="str">
        <f t="shared" ca="1" si="4"/>
        <v/>
      </c>
      <c r="L38" t="str">
        <f t="shared" ca="1" si="5"/>
        <v/>
      </c>
      <c r="M38" s="19" t="str">
        <f t="shared" ca="1" si="6"/>
        <v/>
      </c>
    </row>
    <row r="39" spans="7:13" x14ac:dyDescent="0.3">
      <c r="G39" s="5" t="str">
        <f t="shared" ca="1" si="0"/>
        <v/>
      </c>
      <c r="H39" t="str">
        <f t="shared" ca="1" si="1"/>
        <v/>
      </c>
      <c r="I39" t="str">
        <f t="shared" ca="1" si="2"/>
        <v/>
      </c>
      <c r="J39" s="18" t="str">
        <f t="shared" ca="1" si="3"/>
        <v/>
      </c>
      <c r="K39" t="str">
        <f t="shared" ca="1" si="4"/>
        <v/>
      </c>
      <c r="L39" t="str">
        <f t="shared" ca="1" si="5"/>
        <v/>
      </c>
      <c r="M39" s="19" t="str">
        <f t="shared" ca="1" si="6"/>
        <v/>
      </c>
    </row>
    <row r="40" spans="7:13" x14ac:dyDescent="0.3">
      <c r="G40" s="5" t="str">
        <f t="shared" ca="1" si="0"/>
        <v/>
      </c>
      <c r="H40" t="str">
        <f t="shared" ca="1" si="1"/>
        <v/>
      </c>
      <c r="I40" t="str">
        <f t="shared" ca="1" si="2"/>
        <v/>
      </c>
      <c r="J40" s="18" t="str">
        <f t="shared" ca="1" si="3"/>
        <v/>
      </c>
      <c r="K40" t="str">
        <f t="shared" ca="1" si="4"/>
        <v/>
      </c>
      <c r="L40" t="str">
        <f t="shared" ca="1" si="5"/>
        <v/>
      </c>
      <c r="M40" s="19" t="str">
        <f t="shared" ca="1" si="6"/>
        <v/>
      </c>
    </row>
    <row r="41" spans="7:13" x14ac:dyDescent="0.3">
      <c r="G41" s="5" t="str">
        <f t="shared" ca="1" si="0"/>
        <v/>
      </c>
      <c r="H41" t="str">
        <f t="shared" ca="1" si="1"/>
        <v/>
      </c>
      <c r="I41" t="str">
        <f t="shared" ca="1" si="2"/>
        <v/>
      </c>
      <c r="J41" s="18" t="str">
        <f t="shared" ca="1" si="3"/>
        <v/>
      </c>
      <c r="K41" t="str">
        <f t="shared" ca="1" si="4"/>
        <v/>
      </c>
      <c r="L41" t="str">
        <f t="shared" ca="1" si="5"/>
        <v/>
      </c>
      <c r="M41" s="19" t="str">
        <f t="shared" ca="1" si="6"/>
        <v/>
      </c>
    </row>
    <row r="42" spans="7:13" x14ac:dyDescent="0.3">
      <c r="G42" s="5" t="str">
        <f t="shared" ca="1" si="0"/>
        <v/>
      </c>
      <c r="H42" t="str">
        <f t="shared" ca="1" si="1"/>
        <v/>
      </c>
      <c r="I42" t="str">
        <f t="shared" ca="1" si="2"/>
        <v/>
      </c>
      <c r="J42" s="18" t="str">
        <f t="shared" ca="1" si="3"/>
        <v/>
      </c>
      <c r="K42" t="str">
        <f t="shared" ca="1" si="4"/>
        <v/>
      </c>
      <c r="L42" t="str">
        <f t="shared" ca="1" si="5"/>
        <v/>
      </c>
      <c r="M42" s="19" t="str">
        <f t="shared" ca="1" si="6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UIHHRLKIRM3IHLUEGRHJIYWMDMRZ2B2I:ms-officescript%3A%2F%2Fonedrive_business_sharinglink%2Fu!aHR0cHM6Ly91cWF0LW15LnNoYXJlcG9pbnQuY29tLzp1Oi9nL3BlcnNvbmFsL2JvdW4xMDNfdXFhdF9jYS9FVWlMTm9PdWhEUk9sR0xNR3lPZEIwZ0JOanRPY0dvQzVVY2FxYjBqWHJLdmpR"/>
</scriptIds>
</file>

<file path=customXml/itemProps1.xml><?xml version="1.0" encoding="utf-8"?>
<ds:datastoreItem xmlns:ds="http://schemas.openxmlformats.org/officeDocument/2006/customXml" ds:itemID="{AB3B148A-DD67-4972-A718-87F1E1C22F70}">
  <ds:schemaRefs>
    <ds:schemaRef ds:uri="http://schemas.microsoft.com/office/extensibility/maker/v1.0"/>
  </ds:schemaRefs>
</ds:datastoreItem>
</file>

<file path=docMetadata/LabelInfo.xml><?xml version="1.0" encoding="utf-8"?>
<clbl:labelList xmlns:clbl="http://schemas.microsoft.com/office/2020/mipLabelMetadata">
  <clbl:label id="{cf8d721f-5db2-4de6-92ac-f3310e4c4343}" enabled="1" method="Standard" siteId="{73d292cb-26a4-4f25-b5df-69a6fad715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Paramètres</vt:lpstr>
      <vt:lpstr>Simulation</vt:lpstr>
      <vt:lpstr>Preuve24Tours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Bousquet, Noé</dc:creator>
  <cp:lastModifiedBy>Slimmy Jimmy</cp:lastModifiedBy>
  <dcterms:created xsi:type="dcterms:W3CDTF">2024-11-08T20:10:37Z</dcterms:created>
  <dcterms:modified xsi:type="dcterms:W3CDTF">2024-11-14T17:50:59Z</dcterms:modified>
</cp:coreProperties>
</file>