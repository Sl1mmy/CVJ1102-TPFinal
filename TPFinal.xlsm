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H:\GITHUB\CVJ1102-TPFinal\"/>
    </mc:Choice>
  </mc:AlternateContent>
  <xr:revisionPtr revIDLastSave="0" documentId="13_ncr:1_{8103B003-73D2-48D2-96E1-2742EB478253}" xr6:coauthVersionLast="47" xr6:coauthVersionMax="47" xr10:uidLastSave="{00000000-0000-0000-0000-000000000000}"/>
  <bookViews>
    <workbookView xWindow="-108" yWindow="-108" windowWidth="30936" windowHeight="16896" xr2:uid="{6B088E16-F2B9-4C7D-9EBA-C53FDBF07AE3}"/>
  </bookViews>
  <sheets>
    <sheet name="Simulation" sheetId="2" r:id="rId1"/>
    <sheet name="Preuve92Tours" sheetId="5" r:id="rId2"/>
  </sheets>
  <definedNames>
    <definedName name="_xleta.MAX" hidden="1" xlm="1">#NAME?</definedName>
    <definedName name="_xleta.NORM.INV" hidden="1" xlm="1">#NAME?</definedName>
    <definedName name="joueur1">Preuve92Tours!$H$4:$H$61</definedName>
    <definedName name="joueur2">Preuve92Tours!$J$4:$J$61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 i="5" l="1"/>
  <c r="E3" i="5" s="1"/>
  <c r="D4" i="5"/>
  <c r="E4" i="5" s="1"/>
  <c r="D3" i="2"/>
  <c r="E3" i="2" s="1"/>
  <c r="D4" i="2"/>
  <c r="E4" i="2" s="1"/>
  <c r="I4" i="5" l="1"/>
  <c r="L4" i="5" s="1"/>
  <c r="K4" i="5"/>
  <c r="M4" i="5" s="1"/>
  <c r="G4" i="5"/>
  <c r="H4" i="2"/>
  <c r="I4" i="2" s="1"/>
  <c r="L4" i="2" s="1"/>
  <c r="G4" i="2"/>
  <c r="J4" i="2"/>
  <c r="P4" i="5" l="1"/>
  <c r="Q4" i="5"/>
  <c r="R4" i="5" s="1"/>
  <c r="O4" i="5"/>
  <c r="N4" i="5"/>
  <c r="K4" i="2"/>
  <c r="M4" i="2" s="1"/>
  <c r="O4" i="2" s="1"/>
  <c r="Q4" i="2" l="1"/>
  <c r="P4" i="2"/>
  <c r="N4" i="2"/>
  <c r="K5" i="5" l="1"/>
  <c r="M5" i="5" s="1"/>
  <c r="G5" i="5"/>
  <c r="I5" i="5"/>
  <c r="L5" i="5" s="1"/>
  <c r="R4" i="2"/>
  <c r="Q5" i="5" l="1"/>
  <c r="P5" i="5"/>
  <c r="H5" i="2"/>
  <c r="I5" i="2" s="1"/>
  <c r="L5" i="2" s="1"/>
  <c r="N5" i="5"/>
  <c r="O5" i="5"/>
  <c r="J5" i="2"/>
  <c r="K5" i="2" s="1"/>
  <c r="M5" i="2" s="1"/>
  <c r="G5" i="2"/>
  <c r="Q5" i="2" l="1"/>
  <c r="P5" i="2"/>
  <c r="R5" i="5"/>
  <c r="N5" i="2"/>
  <c r="O5" i="2"/>
  <c r="K6" i="5" l="1"/>
  <c r="M6" i="5" s="1"/>
  <c r="G6" i="5"/>
  <c r="I6" i="5"/>
  <c r="L6" i="5" s="1"/>
  <c r="O6" i="5" s="1"/>
  <c r="R5" i="2"/>
  <c r="P6" i="5" l="1"/>
  <c r="Q6" i="5"/>
  <c r="H6" i="2"/>
  <c r="I6" i="2" s="1"/>
  <c r="L6" i="2" s="1"/>
  <c r="N6" i="5"/>
  <c r="R6" i="5"/>
  <c r="J6" i="2"/>
  <c r="K6" i="2" s="1"/>
  <c r="G6" i="2"/>
  <c r="G7" i="5" l="1"/>
  <c r="K7" i="5"/>
  <c r="M7" i="5" s="1"/>
  <c r="I7" i="5"/>
  <c r="L7" i="5" s="1"/>
  <c r="M6" i="2"/>
  <c r="P6" i="2" s="1"/>
  <c r="Q7" i="5" l="1"/>
  <c r="P7" i="5"/>
  <c r="Q6" i="2"/>
  <c r="R6" i="2" s="1"/>
  <c r="O7" i="5"/>
  <c r="N7" i="5"/>
  <c r="O6" i="2"/>
  <c r="N6" i="2"/>
  <c r="R7" i="5" l="1"/>
  <c r="J7" i="2"/>
  <c r="K7" i="2" s="1"/>
  <c r="G7" i="2"/>
  <c r="H7" i="2"/>
  <c r="I7" i="2" s="1"/>
  <c r="L7" i="2" s="1"/>
  <c r="G8" i="5" l="1"/>
  <c r="K8" i="5"/>
  <c r="M8" i="5" s="1"/>
  <c r="I8" i="5"/>
  <c r="L8" i="5" s="1"/>
  <c r="M7" i="2"/>
  <c r="P7" i="2" s="1"/>
  <c r="P8" i="5" l="1"/>
  <c r="Q8" i="5"/>
  <c r="Q7" i="2"/>
  <c r="R7" i="2" s="1"/>
  <c r="O8" i="5"/>
  <c r="N8" i="5"/>
  <c r="O7" i="2"/>
  <c r="N7" i="2"/>
  <c r="R8" i="5" l="1"/>
  <c r="G9" i="5" s="1"/>
  <c r="G8" i="2"/>
  <c r="J8" i="2"/>
  <c r="H8" i="2"/>
  <c r="I8" i="2" s="1"/>
  <c r="L8" i="2" s="1"/>
  <c r="K9" i="5" l="1"/>
  <c r="M9" i="5" s="1"/>
  <c r="P9" i="5" s="1"/>
  <c r="I9" i="5"/>
  <c r="L9" i="5" s="1"/>
  <c r="N9" i="5"/>
  <c r="O9" i="5"/>
  <c r="K8" i="2"/>
  <c r="M8" i="2" s="1"/>
  <c r="N8" i="2" s="1"/>
  <c r="Q9" i="5" l="1"/>
  <c r="Q8" i="2"/>
  <c r="P8" i="2"/>
  <c r="R9" i="5"/>
  <c r="O8" i="2"/>
  <c r="K10" i="5" l="1"/>
  <c r="M10" i="5" s="1"/>
  <c r="G10" i="5"/>
  <c r="I10" i="5"/>
  <c r="L10" i="5" s="1"/>
  <c r="R8" i="2"/>
  <c r="P10" i="5" l="1"/>
  <c r="Q10" i="5"/>
  <c r="O10" i="5"/>
  <c r="N10" i="5"/>
  <c r="J9" i="2"/>
  <c r="G9" i="2"/>
  <c r="H9" i="2"/>
  <c r="R10" i="5" l="1"/>
  <c r="K11" i="5" s="1"/>
  <c r="M11" i="5" s="1"/>
  <c r="I9" i="2"/>
  <c r="L9" i="2" s="1"/>
  <c r="K9" i="2"/>
  <c r="M9" i="2" s="1"/>
  <c r="G11" i="5" l="1"/>
  <c r="I11" i="5"/>
  <c r="L11" i="5" s="1"/>
  <c r="Q11" i="5" s="1"/>
  <c r="Q9" i="2"/>
  <c r="P9" i="2"/>
  <c r="N9" i="2"/>
  <c r="O9" i="2"/>
  <c r="N11" i="5" l="1"/>
  <c r="P11" i="5"/>
  <c r="R11" i="5" s="1"/>
  <c r="O11" i="5"/>
  <c r="R9" i="2"/>
  <c r="K12" i="5" l="1"/>
  <c r="M12" i="5" s="1"/>
  <c r="I12" i="5"/>
  <c r="L12" i="5" s="1"/>
  <c r="G12" i="5"/>
  <c r="J10" i="2"/>
  <c r="G10" i="2"/>
  <c r="H10" i="2"/>
  <c r="I10" i="2" s="1"/>
  <c r="Q12" i="5" l="1"/>
  <c r="P12" i="5"/>
  <c r="N12" i="5"/>
  <c r="O12" i="5"/>
  <c r="K10" i="2"/>
  <c r="M10" i="2" s="1"/>
  <c r="L10" i="2"/>
  <c r="R12" i="5" l="1"/>
  <c r="K13" i="5" s="1"/>
  <c r="M13" i="5" s="1"/>
  <c r="Q10" i="2"/>
  <c r="P10" i="2"/>
  <c r="G13" i="5"/>
  <c r="I13" i="5"/>
  <c r="L13" i="5" s="1"/>
  <c r="N10" i="2"/>
  <c r="O10" i="2"/>
  <c r="Q13" i="5" l="1"/>
  <c r="P13" i="5"/>
  <c r="O13" i="5"/>
  <c r="N13" i="5"/>
  <c r="R10" i="2"/>
  <c r="H11" i="2" l="1"/>
  <c r="I11" i="2" s="1"/>
  <c r="L11" i="2" s="1"/>
  <c r="R13" i="5"/>
  <c r="G11" i="2"/>
  <c r="J11" i="2"/>
  <c r="K11" i="2" s="1"/>
  <c r="M11" i="2" s="1"/>
  <c r="K14" i="5" l="1"/>
  <c r="M14" i="5" s="1"/>
  <c r="Q11" i="2"/>
  <c r="P11" i="2"/>
  <c r="G14" i="5"/>
  <c r="I14" i="5"/>
  <c r="L14" i="5" s="1"/>
  <c r="Q14" i="5" s="1"/>
  <c r="N11" i="2"/>
  <c r="O11" i="2"/>
  <c r="N14" i="5" l="1"/>
  <c r="P14" i="5"/>
  <c r="R14" i="5" s="1"/>
  <c r="I15" i="5" s="1"/>
  <c r="L15" i="5" s="1"/>
  <c r="O14" i="5"/>
  <c r="R11" i="2"/>
  <c r="K15" i="5" l="1"/>
  <c r="M15" i="5" s="1"/>
  <c r="Q15" i="5" s="1"/>
  <c r="G15" i="5"/>
  <c r="G12" i="2"/>
  <c r="J12" i="2"/>
  <c r="H12" i="2"/>
  <c r="I12" i="2" s="1"/>
  <c r="N15" i="5" l="1"/>
  <c r="O15" i="5"/>
  <c r="P15" i="5"/>
  <c r="R15" i="5" s="1"/>
  <c r="I16" i="5" s="1"/>
  <c r="L16" i="5" s="1"/>
  <c r="L12" i="2"/>
  <c r="K12" i="2"/>
  <c r="M12" i="2" s="1"/>
  <c r="K16" i="5" l="1"/>
  <c r="M16" i="5" s="1"/>
  <c r="P16" i="5" s="1"/>
  <c r="G16" i="5"/>
  <c r="P12" i="2"/>
  <c r="Q12" i="2"/>
  <c r="N12" i="2"/>
  <c r="O12" i="2"/>
  <c r="Q16" i="5" l="1"/>
  <c r="O16" i="5"/>
  <c r="N16" i="5"/>
  <c r="R16" i="5"/>
  <c r="R12" i="2"/>
  <c r="G17" i="5" l="1"/>
  <c r="I17" i="5"/>
  <c r="L17" i="5" s="1"/>
  <c r="K17" i="5"/>
  <c r="M17" i="5" s="1"/>
  <c r="H13" i="2"/>
  <c r="I13" i="2" s="1"/>
  <c r="G13" i="2"/>
  <c r="J13" i="2"/>
  <c r="K13" i="2" s="1"/>
  <c r="Q17" i="5" l="1"/>
  <c r="P17" i="5"/>
  <c r="O17" i="5"/>
  <c r="N17" i="5"/>
  <c r="L13" i="2"/>
  <c r="M13" i="2"/>
  <c r="P13" i="2" l="1"/>
  <c r="Q13" i="2"/>
  <c r="R17" i="5"/>
  <c r="O13" i="2"/>
  <c r="N13" i="2"/>
  <c r="I18" i="5" l="1"/>
  <c r="L18" i="5" s="1"/>
  <c r="K18" i="5"/>
  <c r="M18" i="5" s="1"/>
  <c r="R13" i="2"/>
  <c r="G14" i="2" s="1"/>
  <c r="G18" i="5"/>
  <c r="Q18" i="5" l="1"/>
  <c r="P18" i="5"/>
  <c r="H14" i="2"/>
  <c r="I14" i="2" s="1"/>
  <c r="L14" i="2" s="1"/>
  <c r="J14" i="2"/>
  <c r="K14" i="2" s="1"/>
  <c r="M14" i="2" s="1"/>
  <c r="O18" i="5"/>
  <c r="N18" i="5"/>
  <c r="N14" i="2" l="1"/>
  <c r="Q14" i="2"/>
  <c r="P14" i="2"/>
  <c r="O14" i="2"/>
  <c r="R18" i="5"/>
  <c r="G19" i="5" s="1"/>
  <c r="I19" i="5" l="1"/>
  <c r="L19" i="5" s="1"/>
  <c r="R14" i="2"/>
  <c r="J15" i="2" s="1"/>
  <c r="K15" i="2" s="1"/>
  <c r="M15" i="2" s="1"/>
  <c r="K19" i="5"/>
  <c r="M19" i="5" s="1"/>
  <c r="P19" i="5" s="1"/>
  <c r="O19" i="5" l="1"/>
  <c r="Q19" i="5"/>
  <c r="R19" i="5" s="1"/>
  <c r="G15" i="2"/>
  <c r="H15" i="2"/>
  <c r="I15" i="2" s="1"/>
  <c r="L15" i="2" s="1"/>
  <c r="N15" i="2" s="1"/>
  <c r="N19" i="5"/>
  <c r="G20" i="5" l="1"/>
  <c r="I20" i="5"/>
  <c r="L20" i="5" s="1"/>
  <c r="K20" i="5"/>
  <c r="M20" i="5" s="1"/>
  <c r="P20" i="5" s="1"/>
  <c r="P15" i="2"/>
  <c r="O15" i="2"/>
  <c r="Q15" i="2"/>
  <c r="N20" i="5" l="1"/>
  <c r="O20" i="5"/>
  <c r="Q20" i="5"/>
  <c r="R20" i="5" s="1"/>
  <c r="R15" i="2"/>
  <c r="G16" i="2" s="1"/>
  <c r="G21" i="5" l="1"/>
  <c r="I21" i="5"/>
  <c r="L21" i="5" s="1"/>
  <c r="K21" i="5"/>
  <c r="M21" i="5" s="1"/>
  <c r="J16" i="2"/>
  <c r="K16" i="2" s="1"/>
  <c r="M16" i="2" s="1"/>
  <c r="H16" i="2"/>
  <c r="I16" i="2" s="1"/>
  <c r="L16" i="2" s="1"/>
  <c r="Q21" i="5" l="1"/>
  <c r="N21" i="5"/>
  <c r="O21" i="5"/>
  <c r="P21" i="5"/>
  <c r="R21" i="5" s="1"/>
  <c r="O16" i="2"/>
  <c r="Q16" i="2"/>
  <c r="P16" i="2"/>
  <c r="N16" i="2"/>
  <c r="G22" i="5" l="1"/>
  <c r="I22" i="5"/>
  <c r="L22" i="5" s="1"/>
  <c r="K22" i="5"/>
  <c r="M22" i="5" s="1"/>
  <c r="R16" i="2"/>
  <c r="H17" i="2" s="1"/>
  <c r="I17" i="2" s="1"/>
  <c r="L17" i="2" s="1"/>
  <c r="N22" i="5" l="1"/>
  <c r="Q22" i="5"/>
  <c r="P22" i="5"/>
  <c r="J17" i="2"/>
  <c r="K17" i="2" s="1"/>
  <c r="M17" i="2" s="1"/>
  <c r="P17" i="2" s="1"/>
  <c r="G17" i="2"/>
  <c r="O22" i="5"/>
  <c r="R22" i="5" l="1"/>
  <c r="K23" i="5" s="1"/>
  <c r="M23" i="5" s="1"/>
  <c r="N17" i="2"/>
  <c r="O17" i="2"/>
  <c r="Q17" i="2"/>
  <c r="R17" i="2" s="1"/>
  <c r="I23" i="5" l="1"/>
  <c r="L23" i="5" s="1"/>
  <c r="G23" i="5"/>
  <c r="N23" i="5"/>
  <c r="Q23" i="5"/>
  <c r="P23" i="5"/>
  <c r="J18" i="2"/>
  <c r="K18" i="2" s="1"/>
  <c r="M18" i="2" s="1"/>
  <c r="H18" i="2"/>
  <c r="I18" i="2" s="1"/>
  <c r="L18" i="2" s="1"/>
  <c r="G18" i="2"/>
  <c r="O23" i="5"/>
  <c r="R23" i="5" l="1"/>
  <c r="I24" i="5" s="1"/>
  <c r="L24" i="5" s="1"/>
  <c r="P18" i="2"/>
  <c r="Q18" i="2"/>
  <c r="N18" i="2"/>
  <c r="O18" i="2"/>
  <c r="G24" i="5" l="1"/>
  <c r="K24" i="5"/>
  <c r="M24" i="5" s="1"/>
  <c r="N24" i="5"/>
  <c r="P24" i="5"/>
  <c r="Q24" i="5"/>
  <c r="R18" i="2"/>
  <c r="O24" i="5"/>
  <c r="G19" i="2" l="1"/>
  <c r="J19" i="2"/>
  <c r="K19" i="2" s="1"/>
  <c r="M19" i="2" s="1"/>
  <c r="H19" i="2"/>
  <c r="I19" i="2" s="1"/>
  <c r="L19" i="2" s="1"/>
  <c r="R24" i="5"/>
  <c r="I25" i="5" l="1"/>
  <c r="L25" i="5" s="1"/>
  <c r="K25" i="5"/>
  <c r="M25" i="5" s="1"/>
  <c r="G25" i="5"/>
  <c r="P19" i="2"/>
  <c r="Q19" i="2"/>
  <c r="N19" i="2"/>
  <c r="O19" i="2"/>
  <c r="N25" i="5" l="1"/>
  <c r="Q25" i="5"/>
  <c r="P25" i="5"/>
  <c r="R19" i="2"/>
  <c r="O25" i="5"/>
  <c r="R25" i="5" l="1"/>
  <c r="I26" i="5" s="1"/>
  <c r="L26" i="5" s="1"/>
  <c r="J20" i="2"/>
  <c r="K20" i="2" s="1"/>
  <c r="M20" i="2" s="1"/>
  <c r="G20" i="2"/>
  <c r="H20" i="2"/>
  <c r="I20" i="2" s="1"/>
  <c r="L20" i="2" s="1"/>
  <c r="G26" i="5" l="1"/>
  <c r="K26" i="5"/>
  <c r="M26" i="5" s="1"/>
  <c r="O26" i="5" s="1"/>
  <c r="Q26" i="5"/>
  <c r="N20" i="2"/>
  <c r="P20" i="2"/>
  <c r="Q20" i="2"/>
  <c r="O20" i="2"/>
  <c r="N26" i="5" l="1"/>
  <c r="P26" i="5"/>
  <c r="R26" i="5"/>
  <c r="I27" i="5" s="1"/>
  <c r="L27" i="5" s="1"/>
  <c r="R20" i="2"/>
  <c r="K27" i="5" l="1"/>
  <c r="M27" i="5" s="1"/>
  <c r="N27" i="5" s="1"/>
  <c r="G27" i="5"/>
  <c r="G21" i="2"/>
  <c r="H21" i="2"/>
  <c r="I21" i="2" s="1"/>
  <c r="L21" i="2" s="1"/>
  <c r="J21" i="2"/>
  <c r="K21" i="2" s="1"/>
  <c r="M21" i="2" s="1"/>
  <c r="Q27" i="5" l="1"/>
  <c r="P27" i="5"/>
  <c r="R27" i="5" s="1"/>
  <c r="I28" i="5" s="1"/>
  <c r="L28" i="5" s="1"/>
  <c r="O27" i="5"/>
  <c r="N21" i="2"/>
  <c r="O21" i="2"/>
  <c r="P21" i="2"/>
  <c r="Q21" i="2"/>
  <c r="G28" i="5" l="1"/>
  <c r="K28" i="5"/>
  <c r="M28" i="5" s="1"/>
  <c r="N28" i="5" s="1"/>
  <c r="R21" i="2"/>
  <c r="P28" i="5" l="1"/>
  <c r="Q28" i="5"/>
  <c r="R28" i="5" s="1"/>
  <c r="O28" i="5"/>
  <c r="G22" i="2"/>
  <c r="J22" i="2"/>
  <c r="K22" i="2" s="1"/>
  <c r="M22" i="2" s="1"/>
  <c r="H22" i="2"/>
  <c r="I22" i="2" s="1"/>
  <c r="L22" i="2" s="1"/>
  <c r="G29" i="5" l="1"/>
  <c r="K29" i="5"/>
  <c r="M29" i="5" s="1"/>
  <c r="I29" i="5"/>
  <c r="L29" i="5" s="1"/>
  <c r="N22" i="2"/>
  <c r="O22" i="2"/>
  <c r="P22" i="2"/>
  <c r="Q22" i="2"/>
  <c r="O29" i="5" l="1"/>
  <c r="Q29" i="5"/>
  <c r="N29" i="5"/>
  <c r="P29" i="5"/>
  <c r="R22" i="2"/>
  <c r="R29" i="5" l="1"/>
  <c r="K30" i="5" s="1"/>
  <c r="J23" i="2"/>
  <c r="K23" i="2" s="1"/>
  <c r="M23" i="2" s="1"/>
  <c r="H23" i="2"/>
  <c r="I23" i="2" s="1"/>
  <c r="L23" i="2" s="1"/>
  <c r="G23" i="2"/>
  <c r="I30" i="5" l="1"/>
  <c r="L30" i="5" s="1"/>
  <c r="G30" i="5"/>
  <c r="M30" i="5"/>
  <c r="O23" i="2"/>
  <c r="Q23" i="2"/>
  <c r="P23" i="2"/>
  <c r="N23" i="2"/>
  <c r="N30" i="5" l="1"/>
  <c r="Q30" i="5"/>
  <c r="O30" i="5"/>
  <c r="P30" i="5"/>
  <c r="R23" i="2"/>
  <c r="H24" i="2" s="1"/>
  <c r="I24" i="2" s="1"/>
  <c r="L24" i="2" s="1"/>
  <c r="R30" i="5" l="1"/>
  <c r="K31" i="5" s="1"/>
  <c r="M31" i="5" s="1"/>
  <c r="G24" i="2"/>
  <c r="J24" i="2"/>
  <c r="K24" i="2" s="1"/>
  <c r="M24" i="2" s="1"/>
  <c r="P24" i="2" s="1"/>
  <c r="G31" i="5" l="1"/>
  <c r="I31" i="5"/>
  <c r="L31" i="5" s="1"/>
  <c r="P31" i="5" s="1"/>
  <c r="Q24" i="2"/>
  <c r="R24" i="2" s="1"/>
  <c r="O24" i="2"/>
  <c r="N24" i="2"/>
  <c r="O31" i="5" l="1"/>
  <c r="Q31" i="5"/>
  <c r="R31" i="5" s="1"/>
  <c r="G32" i="5" s="1"/>
  <c r="N31" i="5"/>
  <c r="H25" i="2"/>
  <c r="I25" i="2" s="1"/>
  <c r="L25" i="2" s="1"/>
  <c r="G25" i="2"/>
  <c r="J25" i="2"/>
  <c r="K25" i="2" s="1"/>
  <c r="M25" i="2" s="1"/>
  <c r="I32" i="5" l="1"/>
  <c r="L32" i="5" s="1"/>
  <c r="K32" i="5"/>
  <c r="M32" i="5" s="1"/>
  <c r="O25" i="2"/>
  <c r="P25" i="2"/>
  <c r="N25" i="2"/>
  <c r="Q25" i="2"/>
  <c r="P32" i="5" l="1"/>
  <c r="O32" i="5"/>
  <c r="Q32" i="5"/>
  <c r="R32" i="5" s="1"/>
  <c r="N32" i="5"/>
  <c r="R25" i="2"/>
  <c r="G33" i="5" l="1"/>
  <c r="K33" i="5"/>
  <c r="M33" i="5" s="1"/>
  <c r="I33" i="5"/>
  <c r="L33" i="5" s="1"/>
  <c r="G26" i="2"/>
  <c r="J26" i="2"/>
  <c r="K26" i="2" s="1"/>
  <c r="M26" i="2" s="1"/>
  <c r="H26" i="2"/>
  <c r="I26" i="2" s="1"/>
  <c r="L26" i="2" s="1"/>
  <c r="P33" i="5" l="1"/>
  <c r="N33" i="5"/>
  <c r="O33" i="5"/>
  <c r="Q33" i="5"/>
  <c r="R33" i="5" s="1"/>
  <c r="N26" i="2"/>
  <c r="Q26" i="2"/>
  <c r="O26" i="2"/>
  <c r="P26" i="2"/>
  <c r="I34" i="5" l="1"/>
  <c r="L34" i="5" s="1"/>
  <c r="G34" i="5"/>
  <c r="K34" i="5"/>
  <c r="M34" i="5" s="1"/>
  <c r="R26" i="2"/>
  <c r="H27" i="2" s="1"/>
  <c r="I27" i="2" s="1"/>
  <c r="L27" i="2" s="1"/>
  <c r="P34" i="5" l="1"/>
  <c r="N34" i="5"/>
  <c r="Q34" i="5"/>
  <c r="O34" i="5"/>
  <c r="G27" i="2"/>
  <c r="J27" i="2"/>
  <c r="K27" i="2" s="1"/>
  <c r="M27" i="2" s="1"/>
  <c r="P27" i="2" s="1"/>
  <c r="R34" i="5" l="1"/>
  <c r="G35" i="5" s="1"/>
  <c r="O27" i="2"/>
  <c r="Q27" i="2"/>
  <c r="R27" i="2" s="1"/>
  <c r="N27" i="2"/>
  <c r="I35" i="5" l="1"/>
  <c r="L35" i="5" s="1"/>
  <c r="K35" i="5"/>
  <c r="M35" i="5" s="1"/>
  <c r="Q35" i="5" s="1"/>
  <c r="J28" i="2"/>
  <c r="K28" i="2" s="1"/>
  <c r="M28" i="2" s="1"/>
  <c r="H28" i="2"/>
  <c r="I28" i="2" s="1"/>
  <c r="L28" i="2" s="1"/>
  <c r="G28" i="2"/>
  <c r="N35" i="5" l="1"/>
  <c r="P35" i="5"/>
  <c r="R35" i="5" s="1"/>
  <c r="O35" i="5"/>
  <c r="N28" i="2"/>
  <c r="P28" i="2"/>
  <c r="O28" i="2"/>
  <c r="Q28" i="2"/>
  <c r="G36" i="5" l="1"/>
  <c r="I36" i="5"/>
  <c r="L36" i="5" s="1"/>
  <c r="K36" i="5"/>
  <c r="M36" i="5" s="1"/>
  <c r="R28" i="2"/>
  <c r="Q36" i="5" l="1"/>
  <c r="P36" i="5"/>
  <c r="O36" i="5"/>
  <c r="N36" i="5"/>
  <c r="G29" i="2"/>
  <c r="H29" i="2"/>
  <c r="I29" i="2" s="1"/>
  <c r="L29" i="2" s="1"/>
  <c r="J29" i="2"/>
  <c r="K29" i="2" s="1"/>
  <c r="M29" i="2" s="1"/>
  <c r="R36" i="5" l="1"/>
  <c r="P29" i="2"/>
  <c r="Q29" i="2"/>
  <c r="N29" i="2"/>
  <c r="O29" i="2"/>
  <c r="G37" i="5" l="1"/>
  <c r="K37" i="5"/>
  <c r="M37" i="5" s="1"/>
  <c r="I37" i="5"/>
  <c r="L37" i="5" s="1"/>
  <c r="R29" i="2"/>
  <c r="O37" i="5" l="1"/>
  <c r="N37" i="5"/>
  <c r="Q37" i="5"/>
  <c r="P37" i="5"/>
  <c r="G30" i="2"/>
  <c r="J30" i="2"/>
  <c r="K30" i="2" s="1"/>
  <c r="M30" i="2" s="1"/>
  <c r="H30" i="2"/>
  <c r="I30" i="2" s="1"/>
  <c r="L30" i="2" s="1"/>
  <c r="R37" i="5" l="1"/>
  <c r="O30" i="2"/>
  <c r="Q30" i="2"/>
  <c r="N30" i="2"/>
  <c r="P30" i="2"/>
  <c r="G38" i="5" l="1"/>
  <c r="K38" i="5"/>
  <c r="M38" i="5" s="1"/>
  <c r="I38" i="5"/>
  <c r="L38" i="5" s="1"/>
  <c r="R30" i="2"/>
  <c r="G31" i="2" s="1"/>
  <c r="O38" i="5" l="1"/>
  <c r="P38" i="5"/>
  <c r="Q38" i="5"/>
  <c r="N38" i="5"/>
  <c r="J31" i="2"/>
  <c r="K31" i="2" s="1"/>
  <c r="M31" i="2" s="1"/>
  <c r="H31" i="2"/>
  <c r="I31" i="2" s="1"/>
  <c r="L31" i="2" s="1"/>
  <c r="R38" i="5" l="1"/>
  <c r="N31" i="2"/>
  <c r="P31" i="2"/>
  <c r="O31" i="2"/>
  <c r="Q31" i="2"/>
  <c r="K39" i="5" l="1"/>
  <c r="M39" i="5" s="1"/>
  <c r="G39" i="5"/>
  <c r="I39" i="5"/>
  <c r="L39" i="5" s="1"/>
  <c r="R31" i="2"/>
  <c r="H32" i="2" s="1"/>
  <c r="I32" i="2" s="1"/>
  <c r="L32" i="2" s="1"/>
  <c r="Q39" i="5" l="1"/>
  <c r="N39" i="5"/>
  <c r="P39" i="5"/>
  <c r="O39" i="5"/>
  <c r="G32" i="2"/>
  <c r="J32" i="2"/>
  <c r="K32" i="2" s="1"/>
  <c r="M32" i="2" s="1"/>
  <c r="O32" i="2" s="1"/>
  <c r="R39" i="5" l="1"/>
  <c r="I40" i="5" s="1"/>
  <c r="L40" i="5" s="1"/>
  <c r="N32" i="2"/>
  <c r="P32" i="2"/>
  <c r="Q32" i="2"/>
  <c r="R32" i="2" s="1"/>
  <c r="H33" i="2" s="1"/>
  <c r="I33" i="2" s="1"/>
  <c r="L33" i="2" s="1"/>
  <c r="G40" i="5" l="1"/>
  <c r="K40" i="5"/>
  <c r="M40" i="5" s="1"/>
  <c r="O40" i="5" s="1"/>
  <c r="N40" i="5"/>
  <c r="J33" i="2"/>
  <c r="K33" i="2" s="1"/>
  <c r="M33" i="2" s="1"/>
  <c r="Q33" i="2" s="1"/>
  <c r="G33" i="2"/>
  <c r="Q40" i="5" l="1"/>
  <c r="P40" i="5"/>
  <c r="R40" i="5" s="1"/>
  <c r="G41" i="5" s="1"/>
  <c r="P33" i="2"/>
  <c r="R33" i="2" s="1"/>
  <c r="G34" i="2" s="1"/>
  <c r="O33" i="2"/>
  <c r="N33" i="2"/>
  <c r="K41" i="5" l="1"/>
  <c r="M41" i="5" s="1"/>
  <c r="I41" i="5"/>
  <c r="L41" i="5" s="1"/>
  <c r="N41" i="5" s="1"/>
  <c r="J34" i="2"/>
  <c r="K34" i="2" s="1"/>
  <c r="M34" i="2" s="1"/>
  <c r="H34" i="2"/>
  <c r="I34" i="2" s="1"/>
  <c r="L34" i="2" s="1"/>
  <c r="N34" i="2" s="1"/>
  <c r="Q34" i="2" l="1"/>
  <c r="P41" i="5"/>
  <c r="Q41" i="5"/>
  <c r="O41" i="5"/>
  <c r="O34" i="2"/>
  <c r="P34" i="2"/>
  <c r="R34" i="2" s="1"/>
  <c r="G35" i="2" s="1"/>
  <c r="R41" i="5" l="1"/>
  <c r="G42" i="5" s="1"/>
  <c r="J35" i="2"/>
  <c r="K35" i="2" s="1"/>
  <c r="M35" i="2" s="1"/>
  <c r="O35" i="2" s="1"/>
  <c r="H35" i="2"/>
  <c r="I35" i="2" s="1"/>
  <c r="L35" i="2" s="1"/>
  <c r="N35" i="2"/>
  <c r="P35" i="2"/>
  <c r="Q35" i="2" l="1"/>
  <c r="R35" i="2" s="1"/>
  <c r="K42" i="5"/>
  <c r="M42" i="5" s="1"/>
  <c r="I42" i="5"/>
  <c r="L42" i="5" s="1"/>
  <c r="Q42" i="5" l="1"/>
  <c r="G36" i="2"/>
  <c r="J36" i="2"/>
  <c r="K36" i="2" s="1"/>
  <c r="M36" i="2" s="1"/>
  <c r="H36" i="2"/>
  <c r="I36" i="2" s="1"/>
  <c r="L36" i="2" s="1"/>
  <c r="O36" i="2" s="1"/>
  <c r="N42" i="5"/>
  <c r="P42" i="5"/>
  <c r="R42" i="5" s="1"/>
  <c r="G43" i="5" s="1"/>
  <c r="O42" i="5"/>
  <c r="P36" i="2" l="1"/>
  <c r="N36" i="2"/>
  <c r="Q36" i="2"/>
  <c r="K43" i="5"/>
  <c r="M43" i="5" s="1"/>
  <c r="I43" i="5"/>
  <c r="L43" i="5" s="1"/>
  <c r="R36" i="2"/>
  <c r="Q43" i="5" l="1"/>
  <c r="N43" i="5"/>
  <c r="O43" i="5"/>
  <c r="P43" i="5"/>
  <c r="R43" i="5" s="1"/>
  <c r="H37" i="2"/>
  <c r="G37" i="2"/>
  <c r="I37" i="2"/>
  <c r="L37" i="2" s="1"/>
  <c r="J37" i="2"/>
  <c r="K37" i="2" s="1"/>
  <c r="M37" i="2" s="1"/>
  <c r="G44" i="5" l="1"/>
  <c r="I44" i="5"/>
  <c r="L44" i="5" s="1"/>
  <c r="K44" i="5"/>
  <c r="M44" i="5" s="1"/>
  <c r="O37" i="2"/>
  <c r="N37" i="2"/>
  <c r="P37" i="2"/>
  <c r="Q37" i="2"/>
  <c r="O44" i="5" l="1"/>
  <c r="N44" i="5"/>
  <c r="P44" i="5"/>
  <c r="Q44" i="5"/>
  <c r="R37" i="2"/>
  <c r="J38" i="2" s="1"/>
  <c r="K38" i="2" s="1"/>
  <c r="M38" i="2" s="1"/>
  <c r="R44" i="5" l="1"/>
  <c r="I45" i="5" s="1"/>
  <c r="H38" i="2"/>
  <c r="I38" i="2" s="1"/>
  <c r="L38" i="2" s="1"/>
  <c r="N38" i="2" s="1"/>
  <c r="G38" i="2"/>
  <c r="O38" i="2" l="1"/>
  <c r="P38" i="2"/>
  <c r="Q38" i="2"/>
  <c r="L45" i="5"/>
  <c r="K45" i="5"/>
  <c r="M45" i="5" s="1"/>
  <c r="G45" i="5"/>
  <c r="O45" i="5" l="1"/>
  <c r="Q45" i="5"/>
  <c r="R38" i="2"/>
  <c r="N45" i="5"/>
  <c r="P45" i="5"/>
  <c r="R45" i="5" l="1"/>
  <c r="J39" i="2"/>
  <c r="K39" i="2" s="1"/>
  <c r="M39" i="2" s="1"/>
  <c r="G39" i="2"/>
  <c r="I39" i="2"/>
  <c r="L39" i="2" s="1"/>
  <c r="H39" i="2"/>
  <c r="Q39" i="2"/>
  <c r="O39" i="2"/>
  <c r="P39" i="2"/>
  <c r="N39" i="2"/>
  <c r="K46" i="5"/>
  <c r="M46" i="5" s="1"/>
  <c r="G46" i="5"/>
  <c r="I46" i="5"/>
  <c r="L46" i="5" s="1"/>
  <c r="R39" i="2"/>
  <c r="Q46" i="5" l="1"/>
  <c r="O46" i="5"/>
  <c r="N46" i="5"/>
  <c r="P46" i="5"/>
  <c r="H40" i="2"/>
  <c r="I40" i="2"/>
  <c r="L40" i="2" s="1"/>
  <c r="G40" i="2"/>
  <c r="K40" i="2"/>
  <c r="M40" i="2" s="1"/>
  <c r="J40" i="2"/>
  <c r="R46" i="5" l="1"/>
  <c r="K47" i="5" s="1"/>
  <c r="M47" i="5" s="1"/>
  <c r="O40" i="2"/>
  <c r="P40" i="2"/>
  <c r="N40" i="2"/>
  <c r="Q40" i="2"/>
  <c r="G47" i="5" l="1"/>
  <c r="I47" i="5"/>
  <c r="L47" i="5" s="1"/>
  <c r="P47" i="5" s="1"/>
  <c r="R40" i="2"/>
  <c r="Q47" i="5" l="1"/>
  <c r="N47" i="5"/>
  <c r="O47" i="5"/>
  <c r="R47" i="5"/>
  <c r="K48" i="5" s="1"/>
  <c r="M48" i="5" s="1"/>
  <c r="J41" i="2"/>
  <c r="H41" i="2"/>
  <c r="K41" i="2"/>
  <c r="M41" i="2" s="1"/>
  <c r="G41" i="2"/>
  <c r="I41" i="2"/>
  <c r="L41" i="2" s="1"/>
  <c r="G48" i="5" l="1"/>
  <c r="I48" i="5"/>
  <c r="L48" i="5" s="1"/>
  <c r="P41" i="2"/>
  <c r="O41" i="2"/>
  <c r="Q41" i="2"/>
  <c r="N41" i="2"/>
  <c r="Q48" i="5" l="1"/>
  <c r="P48" i="5"/>
  <c r="O48" i="5"/>
  <c r="N48" i="5"/>
  <c r="R41" i="2"/>
  <c r="R48" i="5" l="1"/>
  <c r="G49" i="5" s="1"/>
  <c r="J42" i="2"/>
  <c r="G42" i="2"/>
  <c r="H42" i="2"/>
  <c r="I42" i="2" s="1"/>
  <c r="L42" i="2" s="1"/>
  <c r="K42" i="2"/>
  <c r="M42" i="2"/>
  <c r="I49" i="5" l="1"/>
  <c r="L49" i="5" s="1"/>
  <c r="K49" i="5"/>
  <c r="M49" i="5" s="1"/>
  <c r="O49" i="5" s="1"/>
  <c r="Q42" i="2"/>
  <c r="N42" i="2"/>
  <c r="P42" i="2"/>
  <c r="R42" i="2" s="1"/>
  <c r="O42" i="2"/>
  <c r="P49" i="5" l="1"/>
  <c r="N49" i="5"/>
  <c r="Q49" i="5"/>
  <c r="R49" i="5" s="1"/>
  <c r="K50" i="5" l="1"/>
  <c r="M50" i="5" s="1"/>
  <c r="I50" i="5"/>
  <c r="L50" i="5" s="1"/>
  <c r="P50" i="5" s="1"/>
  <c r="G50" i="5"/>
  <c r="O50" i="5"/>
  <c r="Q50" i="5" l="1"/>
  <c r="R50" i="5" s="1"/>
  <c r="K51" i="5" s="1"/>
  <c r="M51" i="5" s="1"/>
  <c r="N50" i="5"/>
  <c r="I51" i="5" l="1"/>
  <c r="L51" i="5" s="1"/>
  <c r="P51" i="5" s="1"/>
  <c r="G51" i="5"/>
  <c r="O51" i="5" l="1"/>
  <c r="Q51" i="5"/>
  <c r="R51" i="5" s="1"/>
  <c r="G52" i="5" s="1"/>
  <c r="N51" i="5"/>
  <c r="I52" i="5" l="1"/>
  <c r="L52" i="5" s="1"/>
  <c r="K52" i="5"/>
  <c r="M52" i="5" s="1"/>
  <c r="Q52" i="5" s="1"/>
  <c r="P52" i="5" l="1"/>
  <c r="N52" i="5"/>
  <c r="O52" i="5"/>
  <c r="R52" i="5"/>
  <c r="K53" i="5" s="1"/>
  <c r="M53" i="5" s="1"/>
  <c r="G53" i="5" l="1"/>
  <c r="I53" i="5"/>
  <c r="L53" i="5" s="1"/>
  <c r="O53" i="5" s="1"/>
  <c r="P53" i="5" l="1"/>
  <c r="N53" i="5"/>
  <c r="Q53" i="5"/>
  <c r="R53" i="5" l="1"/>
  <c r="I54" i="5" s="1"/>
  <c r="L54" i="5" s="1"/>
  <c r="G54" i="5" l="1"/>
  <c r="K54" i="5"/>
  <c r="M54" i="5" s="1"/>
  <c r="Q54" i="5" s="1"/>
  <c r="N54" i="5" l="1"/>
  <c r="O54" i="5"/>
  <c r="P54" i="5"/>
  <c r="R54" i="5" s="1"/>
  <c r="K55" i="5" l="1"/>
  <c r="M55" i="5" s="1"/>
  <c r="I55" i="5"/>
  <c r="L55" i="5" s="1"/>
  <c r="G55" i="5"/>
  <c r="P55" i="5" l="1"/>
  <c r="Q55" i="5"/>
  <c r="R55" i="5" s="1"/>
  <c r="O55" i="5"/>
  <c r="N55" i="5"/>
  <c r="G56" i="5" l="1"/>
  <c r="K56" i="5"/>
  <c r="M56" i="5" s="1"/>
  <c r="I56" i="5"/>
  <c r="L56" i="5" s="1"/>
  <c r="N56" i="5" l="1"/>
  <c r="Q56" i="5"/>
  <c r="O56" i="5"/>
  <c r="P56" i="5"/>
  <c r="R56" i="5" l="1"/>
  <c r="G57" i="5" s="1"/>
  <c r="K57" i="5" l="1"/>
  <c r="M57" i="5" s="1"/>
  <c r="I57" i="5"/>
  <c r="L57" i="5" s="1"/>
  <c r="O57" i="5" l="1"/>
  <c r="N57" i="5"/>
  <c r="Q57" i="5"/>
  <c r="P57" i="5"/>
  <c r="R57" i="5" l="1"/>
  <c r="K58" i="5" s="1"/>
  <c r="M58" i="5" s="1"/>
  <c r="G58" i="5" l="1"/>
  <c r="I58" i="5"/>
  <c r="L58" i="5" s="1"/>
  <c r="N58" i="5" s="1"/>
  <c r="P58" i="5" l="1"/>
  <c r="O58" i="5"/>
  <c r="Q58" i="5"/>
  <c r="R58" i="5" s="1"/>
  <c r="G59" i="5" s="1"/>
  <c r="K59" i="5" l="1"/>
  <c r="M59" i="5" s="1"/>
  <c r="I59" i="5"/>
  <c r="L59" i="5" s="1"/>
  <c r="N59" i="5" s="1"/>
  <c r="Q59" i="5" l="1"/>
  <c r="O59" i="5"/>
  <c r="P59" i="5"/>
  <c r="R59" i="5" l="1"/>
  <c r="K60" i="5" s="1"/>
  <c r="M60" i="5" s="1"/>
  <c r="I60" i="5" l="1"/>
  <c r="L60" i="5" s="1"/>
  <c r="O60" i="5" s="1"/>
  <c r="G60" i="5"/>
  <c r="N60" i="5"/>
  <c r="P60" i="5"/>
  <c r="Q60" i="5"/>
  <c r="R60" i="5" l="1"/>
  <c r="I61" i="5" l="1"/>
  <c r="K61" i="5"/>
  <c r="M61" i="5" s="1"/>
  <c r="L61" i="5"/>
  <c r="G61" i="5"/>
  <c r="P61" i="5" l="1"/>
  <c r="O61" i="5"/>
  <c r="N61" i="5"/>
  <c r="Q61" i="5"/>
  <c r="R61" i="5" s="1"/>
  <c r="K62" i="5" l="1"/>
  <c r="M62" i="5" s="1"/>
  <c r="G62" i="5"/>
  <c r="I62" i="5"/>
  <c r="L62" i="5" s="1"/>
  <c r="O62" i="5" l="1"/>
  <c r="P62" i="5"/>
  <c r="N62" i="5"/>
  <c r="Q62" i="5"/>
  <c r="R62" i="5" l="1"/>
  <c r="G63" i="5" s="1"/>
  <c r="I63" i="5" l="1"/>
  <c r="L63" i="5" s="1"/>
  <c r="K63" i="5"/>
  <c r="M63" i="5" s="1"/>
  <c r="Q63" i="5" l="1"/>
  <c r="P63" i="5"/>
  <c r="N63" i="5"/>
  <c r="O63" i="5"/>
  <c r="R63" i="5" l="1"/>
  <c r="G64" i="5" s="1"/>
  <c r="I64" i="5" l="1"/>
  <c r="L64" i="5" s="1"/>
  <c r="K64" i="5"/>
  <c r="M64" i="5" s="1"/>
  <c r="P64" i="5" l="1"/>
  <c r="O64" i="5"/>
  <c r="N64" i="5"/>
  <c r="Q64" i="5"/>
  <c r="R64" i="5" s="1"/>
  <c r="K65" i="5" s="1"/>
  <c r="M65" i="5" s="1"/>
  <c r="I65" i="5" l="1"/>
  <c r="L65" i="5" s="1"/>
  <c r="N65" i="5" s="1"/>
  <c r="G65" i="5"/>
  <c r="P65" i="5" l="1"/>
  <c r="O65" i="5"/>
  <c r="Q65" i="5"/>
  <c r="R65" i="5" s="1"/>
  <c r="G66" i="5" s="1"/>
  <c r="I66" i="5" l="1"/>
  <c r="L66" i="5" s="1"/>
  <c r="K66" i="5"/>
  <c r="M66" i="5" s="1"/>
  <c r="P66" i="5" l="1"/>
  <c r="N66" i="5"/>
  <c r="O66" i="5"/>
  <c r="Q66" i="5"/>
  <c r="R66" i="5" l="1"/>
  <c r="I67" i="5" s="1"/>
  <c r="G67" i="5" l="1"/>
  <c r="L67" i="5"/>
  <c r="K67" i="5"/>
  <c r="M67" i="5" s="1"/>
  <c r="P67" i="5" l="1"/>
  <c r="O67" i="5"/>
  <c r="Q67" i="5"/>
  <c r="R67" i="5" s="1"/>
  <c r="N67" i="5"/>
  <c r="G68" i="5" l="1"/>
  <c r="I68" i="5"/>
  <c r="L68" i="5" s="1"/>
  <c r="K68" i="5"/>
  <c r="M68" i="5" s="1"/>
  <c r="P68" i="5" l="1"/>
  <c r="O68" i="5"/>
  <c r="N68" i="5"/>
  <c r="Q68" i="5"/>
  <c r="R68" i="5" s="1"/>
  <c r="I69" i="5" l="1"/>
  <c r="L69" i="5" s="1"/>
  <c r="K69" i="5"/>
  <c r="M69" i="5" s="1"/>
  <c r="Q69" i="5" s="1"/>
  <c r="G69" i="5"/>
  <c r="P69" i="5" l="1"/>
  <c r="O69" i="5"/>
  <c r="N69" i="5"/>
  <c r="R69" i="5"/>
  <c r="K70" i="5" s="1"/>
  <c r="M70" i="5" s="1"/>
  <c r="G70" i="5" l="1"/>
  <c r="I70" i="5"/>
  <c r="L70" i="5" s="1"/>
  <c r="Q70" i="5" s="1"/>
  <c r="O70" i="5" l="1"/>
  <c r="N70" i="5"/>
  <c r="P70" i="5"/>
  <c r="R70" i="5" s="1"/>
  <c r="I71" i="5" l="1"/>
  <c r="L71" i="5" s="1"/>
  <c r="G71" i="5"/>
  <c r="K71" i="5"/>
  <c r="M71" i="5" s="1"/>
  <c r="N71" i="5" l="1"/>
  <c r="Q71" i="5"/>
  <c r="O71" i="5"/>
  <c r="P71" i="5"/>
  <c r="R71" i="5" l="1"/>
  <c r="I72" i="5" l="1"/>
  <c r="L72" i="5" s="1"/>
  <c r="K72" i="5"/>
  <c r="M72" i="5" s="1"/>
  <c r="G72" i="5"/>
  <c r="Q72" i="5" l="1"/>
  <c r="P72" i="5"/>
  <c r="R72" i="5" s="1"/>
  <c r="N72" i="5"/>
  <c r="O72" i="5"/>
  <c r="K73" i="5" l="1"/>
  <c r="M73" i="5" s="1"/>
  <c r="I73" i="5"/>
  <c r="L73" i="5" s="1"/>
  <c r="G73" i="5"/>
  <c r="P73" i="5" l="1"/>
  <c r="O73" i="5"/>
  <c r="Q73" i="5"/>
  <c r="N73" i="5"/>
  <c r="R73" i="5" l="1"/>
  <c r="K74" i="5" s="1"/>
  <c r="M74" i="5" s="1"/>
  <c r="G74" i="5" l="1"/>
  <c r="I74" i="5"/>
  <c r="L74" i="5" s="1"/>
  <c r="N74" i="5" s="1"/>
  <c r="P74" i="5" l="1"/>
  <c r="O74" i="5"/>
  <c r="Q74" i="5"/>
  <c r="R74" i="5" l="1"/>
  <c r="G75" i="5" l="1"/>
  <c r="I75" i="5"/>
  <c r="L75" i="5" s="1"/>
  <c r="K75" i="5"/>
  <c r="M75" i="5" s="1"/>
  <c r="Q75" i="5" l="1"/>
  <c r="O75" i="5"/>
  <c r="N75" i="5"/>
  <c r="P75" i="5"/>
  <c r="R75" i="5" s="1"/>
  <c r="I76" i="5" s="1"/>
  <c r="L76" i="5" s="1"/>
  <c r="G76" i="5" l="1"/>
  <c r="K76" i="5"/>
  <c r="M76" i="5" s="1"/>
  <c r="N76" i="5" s="1"/>
  <c r="Q76" i="5" l="1"/>
  <c r="O76" i="5"/>
  <c r="P76" i="5"/>
  <c r="R76" i="5" s="1"/>
  <c r="K77" i="5" s="1"/>
  <c r="M77" i="5" s="1"/>
  <c r="I77" i="5" l="1"/>
  <c r="L77" i="5" s="1"/>
  <c r="G77" i="5"/>
  <c r="P77" i="5"/>
  <c r="O77" i="5"/>
  <c r="Q77" i="5"/>
  <c r="N77" i="5"/>
  <c r="R77" i="5" l="1"/>
  <c r="I78" i="5" l="1"/>
  <c r="L78" i="5" s="1"/>
  <c r="K78" i="5"/>
  <c r="M78" i="5" s="1"/>
  <c r="G78" i="5"/>
  <c r="N78" i="5" l="1"/>
  <c r="P78" i="5"/>
  <c r="O78" i="5"/>
  <c r="Q78" i="5"/>
  <c r="R78" i="5" l="1"/>
  <c r="I79" i="5" l="1"/>
  <c r="L79" i="5" s="1"/>
  <c r="K79" i="5"/>
  <c r="M79" i="5" s="1"/>
  <c r="G79" i="5"/>
  <c r="O79" i="5" l="1"/>
  <c r="N79" i="5"/>
  <c r="P79" i="5"/>
  <c r="Q79" i="5"/>
  <c r="R79" i="5" l="1"/>
  <c r="K80" i="5" s="1"/>
  <c r="M80" i="5" s="1"/>
  <c r="G80" i="5" l="1"/>
  <c r="I80" i="5"/>
  <c r="L80" i="5" s="1"/>
  <c r="O80" i="5" s="1"/>
  <c r="Q80" i="5" l="1"/>
  <c r="P80" i="5"/>
  <c r="N80" i="5"/>
  <c r="R80" i="5" l="1"/>
  <c r="G81" i="5" s="1"/>
  <c r="K81" i="5" l="1"/>
  <c r="M81" i="5" s="1"/>
  <c r="N81" i="5" s="1"/>
  <c r="I81" i="5"/>
  <c r="L81" i="5" s="1"/>
  <c r="P81" i="5" l="1"/>
  <c r="R81" i="5" s="1"/>
  <c r="K82" i="5" s="1"/>
  <c r="M82" i="5" s="1"/>
  <c r="O81" i="5"/>
  <c r="Q81" i="5"/>
  <c r="G82" i="5" l="1"/>
  <c r="I82" i="5"/>
  <c r="L82" i="5" s="1"/>
  <c r="P82" i="5" s="1"/>
  <c r="O82" i="5"/>
  <c r="N82" i="5"/>
  <c r="Q82" i="5"/>
  <c r="R82" i="5" l="1"/>
  <c r="K83" i="5" l="1"/>
  <c r="M83" i="5" s="1"/>
  <c r="I83" i="5"/>
  <c r="L83" i="5" s="1"/>
  <c r="G83" i="5"/>
  <c r="Q83" i="5" l="1"/>
  <c r="N83" i="5"/>
  <c r="P83" i="5"/>
  <c r="R83" i="5" s="1"/>
  <c r="O83" i="5"/>
  <c r="K84" i="5" l="1"/>
  <c r="G84" i="5"/>
  <c r="I84" i="5"/>
  <c r="L84" i="5" s="1"/>
  <c r="M84" i="5"/>
  <c r="P84" i="5" l="1"/>
  <c r="Q84" i="5"/>
  <c r="N84" i="5"/>
  <c r="O84" i="5"/>
  <c r="R84" i="5" l="1"/>
  <c r="I85" i="5" s="1"/>
  <c r="L85" i="5" s="1"/>
  <c r="G85" i="5" l="1"/>
  <c r="K85" i="5"/>
  <c r="M85" i="5" s="1"/>
  <c r="O85" i="5" s="1"/>
  <c r="N85" i="5" l="1"/>
  <c r="P85" i="5"/>
  <c r="Q85" i="5"/>
  <c r="R85" i="5" l="1"/>
  <c r="I86" i="5" s="1"/>
  <c r="L86" i="5" s="1"/>
  <c r="G86" i="5" l="1"/>
  <c r="K86" i="5"/>
  <c r="M86" i="5" s="1"/>
  <c r="O86" i="5" s="1"/>
  <c r="Q86" i="5" l="1"/>
  <c r="P86" i="5"/>
  <c r="R86" i="5" s="1"/>
  <c r="N86" i="5"/>
  <c r="K87" i="5" l="1"/>
  <c r="M87" i="5" s="1"/>
  <c r="I87" i="5"/>
  <c r="L87" i="5" s="1"/>
  <c r="G87" i="5"/>
  <c r="N87" i="5" l="1"/>
  <c r="Q87" i="5"/>
  <c r="O87" i="5"/>
  <c r="P87" i="5"/>
  <c r="R87" i="5" l="1"/>
  <c r="K88" i="5" s="1"/>
  <c r="M88" i="5" s="1"/>
  <c r="G88" i="5" l="1"/>
  <c r="I88" i="5"/>
  <c r="L88" i="5" s="1"/>
  <c r="N88" i="5" s="1"/>
  <c r="O88" i="5" l="1"/>
  <c r="Q88" i="5"/>
  <c r="P88" i="5"/>
  <c r="R88" i="5" l="1"/>
  <c r="K89" i="5" s="1"/>
  <c r="M89" i="5" s="1"/>
  <c r="I89" i="5" l="1"/>
  <c r="L89" i="5" s="1"/>
  <c r="G89" i="5"/>
  <c r="N89" i="5"/>
  <c r="Q89" i="5"/>
  <c r="O89" i="5"/>
  <c r="P89" i="5"/>
  <c r="R89" i="5" l="1"/>
  <c r="G90" i="5" s="1"/>
  <c r="I90" i="5" l="1"/>
  <c r="L90" i="5" s="1"/>
  <c r="K90" i="5"/>
  <c r="M90" i="5" s="1"/>
  <c r="P90" i="5" l="1"/>
  <c r="O90" i="5"/>
  <c r="Q90" i="5"/>
  <c r="N90" i="5"/>
  <c r="R90" i="5" l="1"/>
  <c r="I91" i="5" s="1"/>
  <c r="L91" i="5" s="1"/>
  <c r="G91" i="5" l="1"/>
  <c r="K91" i="5"/>
  <c r="M91" i="5" s="1"/>
  <c r="Q91" i="5" s="1"/>
  <c r="P91" i="5" l="1"/>
  <c r="R91" i="5" s="1"/>
  <c r="G92" i="5" s="1"/>
  <c r="O91" i="5"/>
  <c r="N91" i="5"/>
  <c r="K92" i="5" l="1"/>
  <c r="M92" i="5" s="1"/>
  <c r="I92" i="5"/>
  <c r="L92" i="5" s="1"/>
  <c r="O92" i="5" l="1"/>
  <c r="N92" i="5"/>
  <c r="Q92" i="5"/>
  <c r="P92" i="5"/>
  <c r="R92" i="5" l="1"/>
  <c r="G93" i="5" s="1"/>
  <c r="K93" i="5" l="1"/>
  <c r="M93" i="5" s="1"/>
  <c r="I93" i="5"/>
  <c r="L93" i="5" s="1"/>
  <c r="O93" i="5" s="1"/>
  <c r="Q93" i="5"/>
  <c r="N93" i="5"/>
  <c r="P93" i="5" l="1"/>
  <c r="R93" i="5"/>
  <c r="G94" i="5" s="1"/>
  <c r="K94" i="5" l="1"/>
  <c r="M94" i="5" s="1"/>
  <c r="I94" i="5"/>
  <c r="L94" i="5" s="1"/>
  <c r="P94" i="5" l="1"/>
  <c r="N94" i="5"/>
  <c r="Q94" i="5"/>
  <c r="R94" i="5" s="1"/>
  <c r="K95" i="5" s="1"/>
  <c r="M95" i="5" s="1"/>
  <c r="O94" i="5"/>
  <c r="G95" i="5" l="1"/>
  <c r="I95" i="5"/>
  <c r="L95" i="5" s="1"/>
  <c r="P95" i="5" s="1"/>
  <c r="Q95" i="5" l="1"/>
  <c r="R95" i="5" s="1"/>
  <c r="O95" i="5"/>
  <c r="N95" i="5"/>
</calcChain>
</file>

<file path=xl/sharedStrings.xml><?xml version="1.0" encoding="utf-8"?>
<sst xmlns="http://schemas.openxmlformats.org/spreadsheetml/2006/main" count="41" uniqueCount="22">
  <si>
    <t>Vigueur Initiale</t>
  </si>
  <si>
    <t>Agilité Initiale</t>
  </si>
  <si>
    <t>Joueur 1:</t>
  </si>
  <si>
    <t>Joueur 2:</t>
  </si>
  <si>
    <t>Vérification</t>
  </si>
  <si>
    <t>Simulation</t>
  </si>
  <si>
    <t>Agilité Aléatoire J1</t>
  </si>
  <si>
    <t>Agilité Ajustée J1</t>
  </si>
  <si>
    <t>Agilité Aléatoire J2</t>
  </si>
  <si>
    <t>Agilité Ajustée J2</t>
  </si>
  <si>
    <t>Impact Combat J1</t>
  </si>
  <si>
    <t>Impact Combat J2</t>
  </si>
  <si>
    <t>Résultat</t>
  </si>
  <si>
    <t>Vigueur J1</t>
  </si>
  <si>
    <t>Vigueur J2</t>
  </si>
  <si>
    <t>Tour</t>
  </si>
  <si>
    <t>État</t>
  </si>
  <si>
    <t>diff impact</t>
  </si>
  <si>
    <t xml:space="preserve"> </t>
  </si>
  <si>
    <t>Les valeurs optimales pour les deux joueurs sont presque égales, avec un ration d'environ 80 - 10. Cela optimise le nombre de tours pour chaque combat avec une moyenne d'environ 16.5. Un tel ratio permet un nombre de tours plus élevé car les joueurs ne se font pas beaucoup de dégats alors qu'ils ont beaucoup de vie, ce qui fait durer les combats longtemps. Si on ajoute à cela les coups de chances du à la valeur aléatoire de la loi normale, les combats ont le potentiel de durer très longtemps (voir Preure92Tours).</t>
  </si>
  <si>
    <t>projet git :</t>
  </si>
  <si>
    <t>https://github.com/Sl1mmy/CVJ1102-TPFinal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</si>
</sst>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3" x14ac:knownFonts="1">
    <font>
      <sz val="11"/>
      <color theme="1"/>
      <name val="Aptos Narrow"/>
      <family val="2"/>
      <scheme val="minor"/>
    </font>
    <font>
      <sz val="14"/>
      <color theme="1"/>
      <name val="Consolas"/>
      <family val="2"/>
    </font>
    <font>
      <u/>
      <sz val="11"/>
      <color theme="10"/>
      <name val="Aptos Narrow"/>
      <family val="2"/>
      <scheme val="minor"/>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0" fillId="0" borderId="1" xfId="0" applyBorder="1"/>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xf numFmtId="0" fontId="0" fillId="0" borderId="5" xfId="0" applyBorder="1" applyAlignment="1">
      <alignment horizontal="center" vertical="center"/>
    </xf>
    <xf numFmtId="0" fontId="0" fillId="0" borderId="6" xfId="0" applyBorder="1"/>
    <xf numFmtId="0" fontId="0" fillId="0" borderId="7" xfId="0" applyBorder="1"/>
    <xf numFmtId="0" fontId="0" fillId="0" borderId="8" xfId="0" applyBorder="1" applyAlignment="1">
      <alignment horizontal="center" vertical="center"/>
    </xf>
    <xf numFmtId="0" fontId="0" fillId="0" borderId="1" xfId="0" applyBorder="1" applyAlignment="1">
      <alignment horizontal="center" vertical="center"/>
    </xf>
    <xf numFmtId="0" fontId="0" fillId="0" borderId="2" xfId="0" applyBorder="1"/>
    <xf numFmtId="0" fontId="0" fillId="0" borderId="3" xfId="0" applyBorder="1"/>
    <xf numFmtId="0" fontId="0" fillId="0" borderId="5" xfId="0" applyBorder="1"/>
    <xf numFmtId="0" fontId="0" fillId="0" borderId="0" xfId="0" applyProtection="1">
      <protection locked="0"/>
    </xf>
    <xf numFmtId="0" fontId="0" fillId="0" borderId="7" xfId="0" applyBorder="1" applyProtection="1">
      <protection locked="0"/>
    </xf>
    <xf numFmtId="164" fontId="0" fillId="0" borderId="0" xfId="0" applyNumberFormat="1"/>
    <xf numFmtId="0" fontId="0" fillId="0" borderId="8" xfId="0" applyBorder="1"/>
    <xf numFmtId="0" fontId="1" fillId="0" borderId="0" xfId="0" applyFont="1"/>
    <xf numFmtId="0" fontId="0" fillId="0" borderId="0" xfId="0" applyAlignment="1" applyProtection="1">
      <alignment horizontal="left" vertical="top" wrapText="1"/>
      <protection locked="0"/>
    </xf>
    <xf numFmtId="0" fontId="0" fillId="0" borderId="0" xfId="0" applyAlignment="1" applyProtection="1">
      <alignment horizontal="center" vertical="center" wrapText="1"/>
      <protection locked="0"/>
    </xf>
    <xf numFmtId="0" fontId="2" fillId="0" borderId="0" xfId="1" applyAlignment="1" applyProtection="1">
      <alignment horizontal="center" vertical="center" wrapText="1"/>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596900</xdr:colOff>
      <xdr:row>5</xdr:row>
      <xdr:rowOff>0</xdr:rowOff>
    </xdr:from>
    <xdr:to>
      <xdr:col>5</xdr:col>
      <xdr:colOff>0</xdr:colOff>
      <xdr:row>8</xdr:row>
      <xdr:rowOff>21590</xdr:rowOff>
    </xdr:to>
    <xdr:sp macro="" textlink="">
      <xdr:nvSpPr>
        <xdr:cNvPr id="2104" name="CommandButton1" hidden="1">
          <a:extLst>
            <a:ext uri="{63B3BB69-23CF-44E3-9099-C40C66FF867C}">
              <a14:compatExt xmlns:a14="http://schemas.microsoft.com/office/drawing/2010/main"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0</xdr:colOff>
      <xdr:row>5</xdr:row>
      <xdr:rowOff>0</xdr:rowOff>
    </xdr:from>
    <xdr:to>
      <xdr:col>5</xdr:col>
      <xdr:colOff>0</xdr:colOff>
      <xdr:row>8</xdr:row>
      <xdr:rowOff>19050</xdr:rowOff>
    </xdr:to>
    <xdr:pic>
      <xdr:nvPicPr>
        <xdr:cNvPr id="2" name="CommandButton1">
          <a:extLst>
            <a:ext uri="{FF2B5EF4-FFF2-40B4-BE49-F238E27FC236}">
              <a16:creationId xmlns:a16="http://schemas.microsoft.com/office/drawing/2014/main" id="{427A316F-4E14-FA36-E601-A4BFB641CE9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1980" y="929640"/>
          <a:ext cx="2933700" cy="56769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Sl1mmy/CVJ1102-TPFina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42B71-3379-4B14-BC6E-0E9F60949344}">
  <sheetPr codeName="Sheet2"/>
  <dimension ref="B1:S42"/>
  <sheetViews>
    <sheetView tabSelected="1" zoomScaleNormal="100" workbookViewId="0">
      <selection activeCell="D34" sqref="D34"/>
    </sheetView>
  </sheetViews>
  <sheetFormatPr defaultColWidth="8.77734375" defaultRowHeight="14.4" x14ac:dyDescent="0.3"/>
  <cols>
    <col min="1" max="1" width="8.77734375" style="13"/>
    <col min="2" max="2" width="9.44140625" style="13" customWidth="1"/>
    <col min="3" max="3" width="12.44140625" style="13" customWidth="1"/>
    <col min="4" max="4" width="11.77734375" style="13" customWidth="1"/>
    <col min="5" max="5" width="9.109375" style="13" customWidth="1"/>
    <col min="6" max="7" width="8.77734375" style="13"/>
    <col min="8" max="8" width="16.44140625" style="13" customWidth="1"/>
    <col min="9" max="9" width="14.109375" style="13" customWidth="1"/>
    <col min="10" max="10" width="15.6640625" style="13" customWidth="1"/>
    <col min="11" max="11" width="14.77734375" style="13" customWidth="1"/>
    <col min="12" max="12" width="15.6640625" style="13" customWidth="1"/>
    <col min="13" max="13" width="15.109375" style="13" customWidth="1"/>
    <col min="14" max="14" width="11.44140625" style="13" customWidth="1"/>
    <col min="15" max="15" width="11.6640625" style="13" customWidth="1"/>
    <col min="16" max="16" width="9.6640625" style="13" customWidth="1"/>
    <col min="17" max="18" width="8.77734375" style="13"/>
    <col min="19" max="19" width="10" style="13" customWidth="1"/>
    <col min="20" max="16384" width="8.77734375" style="13"/>
  </cols>
  <sheetData>
    <row r="1" spans="2:19" ht="15" thickBot="1" x14ac:dyDescent="0.35">
      <c r="E1" s="13" t="s">
        <v>18</v>
      </c>
    </row>
    <row r="2" spans="2:19" x14ac:dyDescent="0.3">
      <c r="B2" s="1"/>
      <c r="C2" s="2" t="s">
        <v>0</v>
      </c>
      <c r="D2" s="2" t="s">
        <v>1</v>
      </c>
      <c r="E2" s="3" t="s">
        <v>4</v>
      </c>
      <c r="G2" s="9" t="s">
        <v>5</v>
      </c>
      <c r="H2" s="10"/>
      <c r="I2" s="10"/>
      <c r="J2" s="10"/>
      <c r="K2" s="10"/>
      <c r="L2" s="10"/>
      <c r="M2" s="10"/>
      <c r="N2" s="10"/>
      <c r="O2" s="10"/>
      <c r="P2" s="10"/>
      <c r="Q2" s="10"/>
      <c r="R2" s="11"/>
    </row>
    <row r="3" spans="2:19" x14ac:dyDescent="0.3">
      <c r="B3" s="4" t="s">
        <v>2</v>
      </c>
      <c r="C3" s="13">
        <v>79.75</v>
      </c>
      <c r="D3">
        <f>90-C3</f>
        <v>10.25</v>
      </c>
      <c r="E3" s="5" t="str">
        <f>IF(C3+D3=90, "OK", "Erreur : Doit être 90")</f>
        <v>OK</v>
      </c>
      <c r="G3" s="4" t="s">
        <v>15</v>
      </c>
      <c r="H3" t="s">
        <v>6</v>
      </c>
      <c r="I3" t="s">
        <v>7</v>
      </c>
      <c r="J3" t="s">
        <v>8</v>
      </c>
      <c r="K3" t="s">
        <v>9</v>
      </c>
      <c r="L3" t="s">
        <v>10</v>
      </c>
      <c r="M3" t="s">
        <v>11</v>
      </c>
      <c r="N3" t="s">
        <v>17</v>
      </c>
      <c r="O3" t="s">
        <v>12</v>
      </c>
      <c r="P3" t="s">
        <v>13</v>
      </c>
      <c r="Q3" t="s">
        <v>14</v>
      </c>
      <c r="R3" s="12" t="s">
        <v>16</v>
      </c>
      <c r="S3"/>
    </row>
    <row r="4" spans="2:19" ht="15" thickBot="1" x14ac:dyDescent="0.35">
      <c r="B4" s="6" t="s">
        <v>3</v>
      </c>
      <c r="C4" s="14">
        <v>79.239999999999995</v>
      </c>
      <c r="D4" s="7">
        <f>90-C4</f>
        <v>10.760000000000005</v>
      </c>
      <c r="E4" s="8" t="str">
        <f>IF(C4+D4=90, "OK", "Erreur : Doit être 90")</f>
        <v>OK</v>
      </c>
      <c r="G4" s="4">
        <f>IF(AND(E3 = "OK", E4 = "OK"), 1, "")</f>
        <v>1</v>
      </c>
      <c r="H4" s="15">
        <f ca="1">IF(AND(E3 = "OK", E4 = "OK"), _xlfn.NORM.INV(RAND(), 40, 25), "")</f>
        <v>27.390608725114454</v>
      </c>
      <c r="I4">
        <f ca="1">IF(AND(E3 = "OK", E4 = "OK"), AVERAGE(H4, D3), "")</f>
        <v>18.820304362557227</v>
      </c>
      <c r="J4">
        <f ca="1">IF(AND(E3 = "OK", E4 = "OK"), _xlfn.NORM.INV(RAND(), 40, 25), "")</f>
        <v>19.669427104581072</v>
      </c>
      <c r="K4">
        <f ca="1">IF(AND(E3 = "OK", E4 = "OK"), AVERAGE(J4,D4), "")</f>
        <v>15.214713552290538</v>
      </c>
      <c r="L4">
        <f ca="1">IF(AND(E3 = "OK", E4 = "OK"), (C3 * 0.7) + (I4 * 0.4), "")</f>
        <v>63.353121745022889</v>
      </c>
      <c r="M4">
        <f ca="1">IF(AND(E3 = "OK", E4 = "OK"), (C4 * 0.7) + (K4 * 0.4), "")</f>
        <v>61.55388542091621</v>
      </c>
      <c r="N4">
        <f ca="1">IF(AND(E3 = "OK", E4 = "OK"), ABS(L4-M4), "")</f>
        <v>1.7992363241066798</v>
      </c>
      <c r="O4" t="str">
        <f ca="1">IF(AND(E3 = "OK", E4 = "OK"), IF(L4&gt;M4, "J1", "J2"), "")</f>
        <v>J1</v>
      </c>
      <c r="P4">
        <f ca="1">IF(AND(E3 = "OK", E4 = "OK"), IF(L4&gt;M4, C3 + ABS(L4-M4)*0.2, C3 - ABS(L4-M4)*0.2),"")</f>
        <v>80.10984726482134</v>
      </c>
      <c r="Q4">
        <f ca="1">IF(AND(E3 = "OK", E4 = "OK"), IF(L4&lt;M4, C4 + ABS(L4-M4)*0.2, C4 - ABS(L4-M4)*0.2), "")</f>
        <v>78.880152735178655</v>
      </c>
      <c r="R4" s="12" t="str">
        <f ca="1">IF(AND(E3 = "OK", E4 = "OK"), IF(OR(P4&lt;=0, Q4&lt;=0), "Arret", "Continuer"), "Erreur")</f>
        <v>Continuer</v>
      </c>
      <c r="S4"/>
    </row>
    <row r="5" spans="2:19" x14ac:dyDescent="0.3">
      <c r="G5" s="4">
        <f t="shared" ref="G5:G42" ca="1" si="0">IF(R4 = "Continuer", G4+1, "")</f>
        <v>2</v>
      </c>
      <c r="H5">
        <f ca="1">IF(R4 = "Continuer", _xlfn.NORM.INV(RAND(), 40, 25), "")</f>
        <v>18.713476502172426</v>
      </c>
      <c r="I5">
        <f ca="1">IF(R4 = "Continuer", AVERAGE(H5,I4), "")</f>
        <v>18.766890432364825</v>
      </c>
      <c r="J5">
        <f ca="1">IF(R4 = "Continuer", _xlfn.NORM.INV(RAND(), 40, 25), "")</f>
        <v>47.288039863399732</v>
      </c>
      <c r="K5">
        <f ca="1">IF(R4 = "Continuer", AVERAGE(J5,K4), "")</f>
        <v>31.251376707845136</v>
      </c>
      <c r="L5">
        <f t="shared" ref="L5:L42" ca="1" si="1">IF(R4 = "Continuer", (P4 * 0.7) + (I5 * 0.4), "")</f>
        <v>63.583649258320861</v>
      </c>
      <c r="M5">
        <f t="shared" ref="M5:M42" ca="1" si="2">IF(R4 = "Continuer", (Q4 * 0.7) + (K5 * 0.4), "")</f>
        <v>67.716657597763117</v>
      </c>
      <c r="N5">
        <f ca="1">IF(R4 = "Continuer", ABS(L5-M5), "")</f>
        <v>4.1330083394422559</v>
      </c>
      <c r="O5" t="str">
        <f t="shared" ref="O5:O42" ca="1" si="3">IF(R4 = "Continuer", IF(L5&gt;M5, "J1", "J2"), "")</f>
        <v>J2</v>
      </c>
      <c r="P5">
        <f ca="1">IF(R4 = "Continuer", IF(L5&gt;M5, P4 + ABS(L5-M5)*0.2, P4 - ABS(L5-M5)*0.2), "")</f>
        <v>79.283245596932886</v>
      </c>
      <c r="Q5">
        <f ca="1">IF(R4 = "Continuer", IF(L5&lt;M5, Q4 + ABS(L5-M5)*0.2, Q4 - ABS(L5-M5)*0.2), "")</f>
        <v>79.706754403067109</v>
      </c>
      <c r="R5" s="12" t="str">
        <f ca="1">IF(R4 = "Continuer", IF(OR(P5&lt;=0, Q5&lt;=0), "Arret", "Continuer"), "")</f>
        <v>Continuer</v>
      </c>
      <c r="S5"/>
    </row>
    <row r="6" spans="2:19" x14ac:dyDescent="0.3">
      <c r="G6" s="4">
        <f t="shared" ca="1" si="0"/>
        <v>3</v>
      </c>
      <c r="H6">
        <f t="shared" ref="H6:H36" ca="1" si="4">IF(R5 = "Continuer", _xlfn.NORM.INV(RAND(), 40, 25), "")</f>
        <v>12.897064692199905</v>
      </c>
      <c r="I6">
        <f t="shared" ref="I6:I42" ca="1" si="5">IF(R5 = "Continuer", AVERAGE(H6,I5), "")</f>
        <v>15.831977562282365</v>
      </c>
      <c r="J6">
        <f t="shared" ref="J6:J36" ca="1" si="6">IF(R5 = "Continuer", _xlfn.NORM.INV(RAND(), 40, 25), "")</f>
        <v>29.709396532086274</v>
      </c>
      <c r="K6">
        <f t="shared" ref="K6:K41" ca="1" si="7">IF(R5 = "Continuer", AVERAGE(J6,K5), "")</f>
        <v>30.480386619965707</v>
      </c>
      <c r="L6">
        <f t="shared" ca="1" si="1"/>
        <v>61.831062942765968</v>
      </c>
      <c r="M6">
        <f t="shared" ca="1" si="2"/>
        <v>67.98688273013326</v>
      </c>
      <c r="N6">
        <f t="shared" ref="N6:N42" ca="1" si="8">IF(R5 = "Continuer", ABS(L6-M6), "")</f>
        <v>6.1558197873672924</v>
      </c>
      <c r="O6" t="str">
        <f t="shared" ca="1" si="3"/>
        <v>J2</v>
      </c>
      <c r="P6">
        <f t="shared" ref="P6:P42" ca="1" si="9">IF(R5 = "Continuer", IF(L6&gt;M6, P5 + ABS(L6-M6)*0.2, P5 - ABS(L6-M6)*0.2), "")</f>
        <v>78.052081639459431</v>
      </c>
      <c r="Q6">
        <f t="shared" ref="Q6:Q42" ca="1" si="10">IF(R5 = "Continuer", IF(L6&lt;M6, Q5 + ABS(L6-M6)*0.2, Q5 - ABS(L6-M6)*0.2), "")</f>
        <v>80.937918360540564</v>
      </c>
      <c r="R6" s="12" t="str">
        <f t="shared" ref="R6:R36" ca="1" si="11">IF(R5 = "Continuer", IF(OR(P6&lt;=0, Q6&lt;=0), "Arret", "Continuer"), "")</f>
        <v>Continuer</v>
      </c>
      <c r="S6"/>
    </row>
    <row r="7" spans="2:19" x14ac:dyDescent="0.3">
      <c r="G7" s="4">
        <f t="shared" ca="1" si="0"/>
        <v>4</v>
      </c>
      <c r="H7">
        <f t="shared" ca="1" si="4"/>
        <v>50.094836868280744</v>
      </c>
      <c r="I7">
        <f t="shared" ca="1" si="5"/>
        <v>32.963407215281556</v>
      </c>
      <c r="J7">
        <f t="shared" ca="1" si="6"/>
        <v>29.476267362622679</v>
      </c>
      <c r="K7">
        <f t="shared" ca="1" si="7"/>
        <v>29.978326991294193</v>
      </c>
      <c r="L7">
        <f t="shared" ca="1" si="1"/>
        <v>67.821820033734227</v>
      </c>
      <c r="M7">
        <f t="shared" ca="1" si="2"/>
        <v>68.647873648896066</v>
      </c>
      <c r="N7">
        <f t="shared" ca="1" si="8"/>
        <v>0.82605361516183962</v>
      </c>
      <c r="O7" t="str">
        <f t="shared" ca="1" si="3"/>
        <v>J2</v>
      </c>
      <c r="P7">
        <f t="shared" ca="1" si="9"/>
        <v>77.886870916427057</v>
      </c>
      <c r="Q7">
        <f t="shared" ca="1" si="10"/>
        <v>81.103129083572938</v>
      </c>
      <c r="R7" s="12" t="str">
        <f t="shared" ca="1" si="11"/>
        <v>Continuer</v>
      </c>
      <c r="S7"/>
    </row>
    <row r="8" spans="2:19" x14ac:dyDescent="0.3">
      <c r="G8" s="4">
        <f t="shared" ca="1" si="0"/>
        <v>5</v>
      </c>
      <c r="H8">
        <f t="shared" ca="1" si="4"/>
        <v>18.72543569309299</v>
      </c>
      <c r="I8">
        <f t="shared" ca="1" si="5"/>
        <v>25.844421454187273</v>
      </c>
      <c r="J8">
        <f t="shared" ca="1" si="6"/>
        <v>38.218726093363266</v>
      </c>
      <c r="K8">
        <f t="shared" ca="1" si="7"/>
        <v>34.098526542328727</v>
      </c>
      <c r="L8">
        <f t="shared" ca="1" si="1"/>
        <v>64.858578223173851</v>
      </c>
      <c r="M8">
        <f t="shared" ca="1" si="2"/>
        <v>70.411600975432549</v>
      </c>
      <c r="N8">
        <f t="shared" ca="1" si="8"/>
        <v>5.5530227522586983</v>
      </c>
      <c r="O8" t="str">
        <f t="shared" ca="1" si="3"/>
        <v>J2</v>
      </c>
      <c r="P8">
        <f t="shared" ca="1" si="9"/>
        <v>76.776266365975317</v>
      </c>
      <c r="Q8">
        <f t="shared" ca="1" si="10"/>
        <v>82.213733634024678</v>
      </c>
      <c r="R8" s="12" t="str">
        <f t="shared" ca="1" si="11"/>
        <v>Continuer</v>
      </c>
      <c r="S8"/>
    </row>
    <row r="9" spans="2:19" x14ac:dyDescent="0.3">
      <c r="G9" s="4">
        <f t="shared" ca="1" si="0"/>
        <v>6</v>
      </c>
      <c r="H9">
        <f t="shared" ca="1" si="4"/>
        <v>56.452867826900743</v>
      </c>
      <c r="I9">
        <f t="shared" ca="1" si="5"/>
        <v>41.148644640544006</v>
      </c>
      <c r="J9">
        <f t="shared" ca="1" si="6"/>
        <v>84.4695343080312</v>
      </c>
      <c r="K9">
        <f t="shared" ca="1" si="7"/>
        <v>59.284030425179964</v>
      </c>
      <c r="L9">
        <f t="shared" ca="1" si="1"/>
        <v>70.202844312400316</v>
      </c>
      <c r="M9">
        <f t="shared" ca="1" si="2"/>
        <v>81.263225713889256</v>
      </c>
      <c r="N9">
        <f t="shared" ca="1" si="8"/>
        <v>11.060381401488939</v>
      </c>
      <c r="O9" t="str">
        <f t="shared" ca="1" si="3"/>
        <v>J2</v>
      </c>
      <c r="P9">
        <f t="shared" ca="1" si="9"/>
        <v>74.564190085677524</v>
      </c>
      <c r="Q9">
        <f t="shared" ca="1" si="10"/>
        <v>84.425809914322471</v>
      </c>
      <c r="R9" s="12" t="str">
        <f t="shared" ca="1" si="11"/>
        <v>Continuer</v>
      </c>
      <c r="S9"/>
    </row>
    <row r="10" spans="2:19" x14ac:dyDescent="0.3">
      <c r="G10" s="4">
        <f t="shared" ca="1" si="0"/>
        <v>7</v>
      </c>
      <c r="H10">
        <f t="shared" ca="1" si="4"/>
        <v>83.894271282571367</v>
      </c>
      <c r="I10">
        <f t="shared" ca="1" si="5"/>
        <v>62.521457961557687</v>
      </c>
      <c r="J10">
        <f t="shared" ca="1" si="6"/>
        <v>28.696574108781782</v>
      </c>
      <c r="K10">
        <f t="shared" ca="1" si="7"/>
        <v>43.990302266980876</v>
      </c>
      <c r="L10">
        <f t="shared" ca="1" si="1"/>
        <v>77.203516244597338</v>
      </c>
      <c r="M10">
        <f t="shared" ca="1" si="2"/>
        <v>76.694187846818068</v>
      </c>
      <c r="N10">
        <f t="shared" ca="1" si="8"/>
        <v>0.50932839777927086</v>
      </c>
      <c r="O10" t="str">
        <f t="shared" ca="1" si="3"/>
        <v>J1</v>
      </c>
      <c r="P10">
        <f t="shared" ca="1" si="9"/>
        <v>74.666055765233381</v>
      </c>
      <c r="Q10">
        <f t="shared" ca="1" si="10"/>
        <v>84.323944234766614</v>
      </c>
      <c r="R10" s="12" t="str">
        <f t="shared" ca="1" si="11"/>
        <v>Continuer</v>
      </c>
      <c r="S10"/>
    </row>
    <row r="11" spans="2:19" x14ac:dyDescent="0.3">
      <c r="G11" s="4">
        <f t="shared" ca="1" si="0"/>
        <v>8</v>
      </c>
      <c r="H11">
        <f t="shared" ca="1" si="4"/>
        <v>38.963818225272519</v>
      </c>
      <c r="I11">
        <f t="shared" ca="1" si="5"/>
        <v>50.742638093415103</v>
      </c>
      <c r="J11">
        <f t="shared" ca="1" si="6"/>
        <v>-16.44359137341236</v>
      </c>
      <c r="K11">
        <f t="shared" ca="1" si="7"/>
        <v>13.773355446784258</v>
      </c>
      <c r="L11">
        <f t="shared" ca="1" si="1"/>
        <v>72.563294273029399</v>
      </c>
      <c r="M11">
        <f t="shared" ca="1" si="2"/>
        <v>64.536103143050326</v>
      </c>
      <c r="N11">
        <f t="shared" ca="1" si="8"/>
        <v>8.027191129979073</v>
      </c>
      <c r="O11" t="str">
        <f t="shared" ca="1" si="3"/>
        <v>J1</v>
      </c>
      <c r="P11">
        <f t="shared" ca="1" si="9"/>
        <v>76.271493991229192</v>
      </c>
      <c r="Q11">
        <f t="shared" ca="1" si="10"/>
        <v>82.718506008770802</v>
      </c>
      <c r="R11" s="12" t="str">
        <f t="shared" ca="1" si="11"/>
        <v>Continuer</v>
      </c>
      <c r="S11"/>
    </row>
    <row r="12" spans="2:19" x14ac:dyDescent="0.3">
      <c r="B12" s="18" t="s">
        <v>19</v>
      </c>
      <c r="C12" s="18"/>
      <c r="D12" s="18"/>
      <c r="E12" s="18"/>
      <c r="G12" s="4">
        <f t="shared" ca="1" si="0"/>
        <v>9</v>
      </c>
      <c r="H12">
        <f t="shared" ca="1" si="4"/>
        <v>5.206137730831351</v>
      </c>
      <c r="I12">
        <f t="shared" ca="1" si="5"/>
        <v>27.974387912123227</v>
      </c>
      <c r="J12">
        <f t="shared" ca="1" si="6"/>
        <v>-31.959087452355746</v>
      </c>
      <c r="K12">
        <f t="shared" ca="1" si="7"/>
        <v>-9.092866002785744</v>
      </c>
      <c r="L12">
        <f t="shared" ca="1" si="1"/>
        <v>64.579800958709725</v>
      </c>
      <c r="M12">
        <f t="shared" ca="1" si="2"/>
        <v>54.265807805025254</v>
      </c>
      <c r="N12">
        <f t="shared" ca="1" si="8"/>
        <v>10.313993153684471</v>
      </c>
      <c r="O12" t="str">
        <f t="shared" ca="1" si="3"/>
        <v>J1</v>
      </c>
      <c r="P12">
        <f t="shared" ca="1" si="9"/>
        <v>78.334292621966085</v>
      </c>
      <c r="Q12">
        <f t="shared" ca="1" si="10"/>
        <v>80.65570737803391</v>
      </c>
      <c r="R12" s="12" t="str">
        <f t="shared" ca="1" si="11"/>
        <v>Continuer</v>
      </c>
      <c r="S12"/>
    </row>
    <row r="13" spans="2:19" x14ac:dyDescent="0.3">
      <c r="B13" s="18"/>
      <c r="C13" s="18"/>
      <c r="D13" s="18"/>
      <c r="E13" s="18"/>
      <c r="G13" s="4">
        <f t="shared" ca="1" si="0"/>
        <v>10</v>
      </c>
      <c r="H13">
        <f t="shared" ca="1" si="4"/>
        <v>1.1504961472177229</v>
      </c>
      <c r="I13">
        <f t="shared" ca="1" si="5"/>
        <v>14.562442029670475</v>
      </c>
      <c r="J13">
        <f t="shared" ca="1" si="6"/>
        <v>9.8903375396218394</v>
      </c>
      <c r="K13">
        <f t="shared" ca="1" si="7"/>
        <v>0.3987357684180477</v>
      </c>
      <c r="L13">
        <f t="shared" ca="1" si="1"/>
        <v>60.658981647244445</v>
      </c>
      <c r="M13">
        <f t="shared" ca="1" si="2"/>
        <v>56.618489471990948</v>
      </c>
      <c r="N13">
        <f t="shared" ca="1" si="8"/>
        <v>4.0404921752534975</v>
      </c>
      <c r="O13" t="str">
        <f t="shared" ca="1" si="3"/>
        <v>J1</v>
      </c>
      <c r="P13">
        <f t="shared" ca="1" si="9"/>
        <v>79.142391057016781</v>
      </c>
      <c r="Q13">
        <f t="shared" ca="1" si="10"/>
        <v>79.847608942983214</v>
      </c>
      <c r="R13" s="12" t="str">
        <f t="shared" ca="1" si="11"/>
        <v>Continuer</v>
      </c>
      <c r="S13"/>
    </row>
    <row r="14" spans="2:19" x14ac:dyDescent="0.3">
      <c r="B14" s="18"/>
      <c r="C14" s="18"/>
      <c r="D14" s="18"/>
      <c r="E14" s="18"/>
      <c r="G14" s="4">
        <f t="shared" ca="1" si="0"/>
        <v>11</v>
      </c>
      <c r="H14">
        <f t="shared" ca="1" si="4"/>
        <v>55.097826905588406</v>
      </c>
      <c r="I14">
        <f t="shared" ca="1" si="5"/>
        <v>34.830134467629442</v>
      </c>
      <c r="J14">
        <f t="shared" ca="1" si="6"/>
        <v>31.966954650795593</v>
      </c>
      <c r="K14">
        <f t="shared" ca="1" si="7"/>
        <v>16.182845209606821</v>
      </c>
      <c r="L14">
        <f t="shared" ca="1" si="1"/>
        <v>69.331727526963519</v>
      </c>
      <c r="M14">
        <f t="shared" ca="1" si="2"/>
        <v>62.366464343930971</v>
      </c>
      <c r="N14">
        <f t="shared" ca="1" si="8"/>
        <v>6.9652631830325475</v>
      </c>
      <c r="O14" t="str">
        <f t="shared" ca="1" si="3"/>
        <v>J1</v>
      </c>
      <c r="P14">
        <f t="shared" ca="1" si="9"/>
        <v>80.535443693623293</v>
      </c>
      <c r="Q14">
        <f t="shared" ca="1" si="10"/>
        <v>78.454556306376702</v>
      </c>
      <c r="R14" s="12" t="str">
        <f t="shared" ca="1" si="11"/>
        <v>Continuer</v>
      </c>
      <c r="S14"/>
    </row>
    <row r="15" spans="2:19" x14ac:dyDescent="0.3">
      <c r="B15" s="18"/>
      <c r="C15" s="18"/>
      <c r="D15" s="18"/>
      <c r="E15" s="18"/>
      <c r="G15" s="4">
        <f t="shared" ca="1" si="0"/>
        <v>12</v>
      </c>
      <c r="H15">
        <f t="shared" ca="1" si="4"/>
        <v>41.288794168354926</v>
      </c>
      <c r="I15">
        <f t="shared" ca="1" si="5"/>
        <v>38.05946431799218</v>
      </c>
      <c r="J15">
        <f t="shared" ca="1" si="6"/>
        <v>17.293613355573751</v>
      </c>
      <c r="K15">
        <f t="shared" ca="1" si="7"/>
        <v>16.738229282590286</v>
      </c>
      <c r="L15">
        <f t="shared" ca="1" si="1"/>
        <v>71.598596312733179</v>
      </c>
      <c r="M15">
        <f t="shared" ca="1" si="2"/>
        <v>61.613481127499803</v>
      </c>
      <c r="N15">
        <f t="shared" ca="1" si="8"/>
        <v>9.9851151852333757</v>
      </c>
      <c r="O15" t="str">
        <f t="shared" ca="1" si="3"/>
        <v>J1</v>
      </c>
      <c r="P15">
        <f t="shared" ca="1" si="9"/>
        <v>82.532466730669967</v>
      </c>
      <c r="Q15">
        <f t="shared" ca="1" si="10"/>
        <v>76.457533269330028</v>
      </c>
      <c r="R15" s="12" t="str">
        <f t="shared" ca="1" si="11"/>
        <v>Continuer</v>
      </c>
      <c r="S15"/>
    </row>
    <row r="16" spans="2:19" x14ac:dyDescent="0.3">
      <c r="B16" s="18"/>
      <c r="C16" s="18"/>
      <c r="D16" s="18"/>
      <c r="E16" s="18"/>
      <c r="G16" s="4">
        <f t="shared" ca="1" si="0"/>
        <v>13</v>
      </c>
      <c r="H16">
        <f t="shared" ca="1" si="4"/>
        <v>58.783322796951637</v>
      </c>
      <c r="I16">
        <f t="shared" ca="1" si="5"/>
        <v>48.421393557471909</v>
      </c>
      <c r="J16">
        <f t="shared" ca="1" si="6"/>
        <v>32.659135292864363</v>
      </c>
      <c r="K16">
        <f t="shared" ca="1" si="7"/>
        <v>24.698682287727323</v>
      </c>
      <c r="L16">
        <f t="shared" ca="1" si="1"/>
        <v>77.141284134457734</v>
      </c>
      <c r="M16">
        <f t="shared" ca="1" si="2"/>
        <v>63.399746203621945</v>
      </c>
      <c r="N16">
        <f t="shared" ca="1" si="8"/>
        <v>13.74153793083579</v>
      </c>
      <c r="O16" t="str">
        <f t="shared" ca="1" si="3"/>
        <v>J1</v>
      </c>
      <c r="P16">
        <f t="shared" ca="1" si="9"/>
        <v>85.280774316837125</v>
      </c>
      <c r="Q16">
        <f t="shared" ca="1" si="10"/>
        <v>73.70922568316287</v>
      </c>
      <c r="R16" s="12" t="str">
        <f t="shared" ca="1" si="11"/>
        <v>Continuer</v>
      </c>
      <c r="S16"/>
    </row>
    <row r="17" spans="2:19" x14ac:dyDescent="0.3">
      <c r="B17" s="18"/>
      <c r="C17" s="18"/>
      <c r="D17" s="18"/>
      <c r="E17" s="18"/>
      <c r="G17" s="4">
        <f t="shared" ca="1" si="0"/>
        <v>14</v>
      </c>
      <c r="H17">
        <f t="shared" ca="1" si="4"/>
        <v>77.783230692220343</v>
      </c>
      <c r="I17">
        <f t="shared" ca="1" si="5"/>
        <v>63.102312124846122</v>
      </c>
      <c r="J17">
        <f t="shared" ca="1" si="6"/>
        <v>71.628679388149479</v>
      </c>
      <c r="K17">
        <f t="shared" ca="1" si="7"/>
        <v>48.163680837938401</v>
      </c>
      <c r="L17">
        <f t="shared" ca="1" si="1"/>
        <v>84.937466871724439</v>
      </c>
      <c r="M17">
        <f t="shared" ca="1" si="2"/>
        <v>70.861930313389365</v>
      </c>
      <c r="N17">
        <f t="shared" ca="1" si="8"/>
        <v>14.075536558335074</v>
      </c>
      <c r="O17" t="str">
        <f t="shared" ca="1" si="3"/>
        <v>J1</v>
      </c>
      <c r="P17">
        <f t="shared" ca="1" si="9"/>
        <v>88.095881628504145</v>
      </c>
      <c r="Q17">
        <f t="shared" ca="1" si="10"/>
        <v>70.89411837149585</v>
      </c>
      <c r="R17" s="12" t="str">
        <f t="shared" ca="1" si="11"/>
        <v>Continuer</v>
      </c>
      <c r="S17"/>
    </row>
    <row r="18" spans="2:19" x14ac:dyDescent="0.3">
      <c r="B18" s="18"/>
      <c r="C18" s="18"/>
      <c r="D18" s="18"/>
      <c r="E18" s="18"/>
      <c r="G18" s="4">
        <f t="shared" ca="1" si="0"/>
        <v>15</v>
      </c>
      <c r="H18">
        <f t="shared" ca="1" si="4"/>
        <v>48.80778045668049</v>
      </c>
      <c r="I18">
        <f t="shared" ca="1" si="5"/>
        <v>55.955046290763306</v>
      </c>
      <c r="J18">
        <f t="shared" ca="1" si="6"/>
        <v>24.699742715256257</v>
      </c>
      <c r="K18">
        <f t="shared" ca="1" si="7"/>
        <v>36.431711776597325</v>
      </c>
      <c r="L18">
        <f t="shared" ca="1" si="1"/>
        <v>84.049135656258215</v>
      </c>
      <c r="M18">
        <f t="shared" ca="1" si="2"/>
        <v>64.198567570686023</v>
      </c>
      <c r="N18">
        <f t="shared" ca="1" si="8"/>
        <v>19.850568085572192</v>
      </c>
      <c r="O18" t="str">
        <f t="shared" ca="1" si="3"/>
        <v>J1</v>
      </c>
      <c r="P18">
        <f t="shared" ca="1" si="9"/>
        <v>92.065995245618581</v>
      </c>
      <c r="Q18">
        <f t="shared" ca="1" si="10"/>
        <v>66.924004754381414</v>
      </c>
      <c r="R18" s="12" t="str">
        <f t="shared" ca="1" si="11"/>
        <v>Continuer</v>
      </c>
      <c r="S18"/>
    </row>
    <row r="19" spans="2:19" x14ac:dyDescent="0.3">
      <c r="B19" s="18"/>
      <c r="C19" s="18"/>
      <c r="D19" s="18"/>
      <c r="E19" s="18"/>
      <c r="G19" s="4">
        <f t="shared" ca="1" si="0"/>
        <v>16</v>
      </c>
      <c r="H19">
        <f t="shared" ca="1" si="4"/>
        <v>54.275177175335301</v>
      </c>
      <c r="I19">
        <f t="shared" ca="1" si="5"/>
        <v>55.115111733049304</v>
      </c>
      <c r="J19">
        <f t="shared" ca="1" si="6"/>
        <v>60.518296754576774</v>
      </c>
      <c r="K19">
        <f t="shared" ca="1" si="7"/>
        <v>48.475004265587046</v>
      </c>
      <c r="L19">
        <f t="shared" ca="1" si="1"/>
        <v>86.492241365152736</v>
      </c>
      <c r="M19">
        <f t="shared" ca="1" si="2"/>
        <v>66.23680503430181</v>
      </c>
      <c r="N19">
        <f t="shared" ca="1" si="8"/>
        <v>20.255436330850927</v>
      </c>
      <c r="O19" t="str">
        <f t="shared" ca="1" si="3"/>
        <v>J1</v>
      </c>
      <c r="P19">
        <f t="shared" ca="1" si="9"/>
        <v>96.117082511788766</v>
      </c>
      <c r="Q19">
        <f t="shared" ca="1" si="10"/>
        <v>62.872917488211229</v>
      </c>
      <c r="R19" s="12" t="str">
        <f t="shared" ca="1" si="11"/>
        <v>Continuer</v>
      </c>
      <c r="S19"/>
    </row>
    <row r="20" spans="2:19" x14ac:dyDescent="0.3">
      <c r="B20" s="18"/>
      <c r="C20" s="18"/>
      <c r="D20" s="18"/>
      <c r="E20" s="18"/>
      <c r="G20" s="4">
        <f t="shared" ca="1" si="0"/>
        <v>17</v>
      </c>
      <c r="H20">
        <f t="shared" ca="1" si="4"/>
        <v>59.587318040542392</v>
      </c>
      <c r="I20">
        <f t="shared" ca="1" si="5"/>
        <v>57.351214886795844</v>
      </c>
      <c r="J20">
        <f t="shared" ca="1" si="6"/>
        <v>48.616566624844594</v>
      </c>
      <c r="K20">
        <f t="shared" ca="1" si="7"/>
        <v>48.54578544521582</v>
      </c>
      <c r="L20">
        <f t="shared" ca="1" si="1"/>
        <v>90.222443712970474</v>
      </c>
      <c r="M20">
        <f t="shared" ca="1" si="2"/>
        <v>63.429356419834193</v>
      </c>
      <c r="N20">
        <f t="shared" ca="1" si="8"/>
        <v>26.793087293136281</v>
      </c>
      <c r="O20" t="str">
        <f t="shared" ca="1" si="3"/>
        <v>J1</v>
      </c>
      <c r="P20">
        <f t="shared" ca="1" si="9"/>
        <v>101.47569997041602</v>
      </c>
      <c r="Q20">
        <f t="shared" ca="1" si="10"/>
        <v>57.514300029583971</v>
      </c>
      <c r="R20" s="12" t="str">
        <f t="shared" ca="1" si="11"/>
        <v>Continuer</v>
      </c>
      <c r="S20"/>
    </row>
    <row r="21" spans="2:19" x14ac:dyDescent="0.3">
      <c r="B21" s="18"/>
      <c r="C21" s="18"/>
      <c r="D21" s="18"/>
      <c r="E21" s="18"/>
      <c r="G21" s="4">
        <f t="shared" ca="1" si="0"/>
        <v>18</v>
      </c>
      <c r="H21">
        <f t="shared" ca="1" si="4"/>
        <v>34.818624236825897</v>
      </c>
      <c r="I21">
        <f t="shared" ca="1" si="5"/>
        <v>46.084919561810871</v>
      </c>
      <c r="J21">
        <f t="shared" ca="1" si="6"/>
        <v>37.747391322090444</v>
      </c>
      <c r="K21">
        <f t="shared" ca="1" si="7"/>
        <v>43.146588383653132</v>
      </c>
      <c r="L21">
        <f t="shared" ca="1" si="1"/>
        <v>89.46695780401555</v>
      </c>
      <c r="M21">
        <f t="shared" ca="1" si="2"/>
        <v>57.518645374170035</v>
      </c>
      <c r="N21">
        <f t="shared" ca="1" si="8"/>
        <v>31.948312429845515</v>
      </c>
      <c r="O21" t="str">
        <f t="shared" ca="1" si="3"/>
        <v>J1</v>
      </c>
      <c r="P21">
        <f t="shared" ca="1" si="9"/>
        <v>107.86536245638511</v>
      </c>
      <c r="Q21">
        <f t="shared" ca="1" si="10"/>
        <v>51.124637543614867</v>
      </c>
      <c r="R21" s="12" t="str">
        <f t="shared" ca="1" si="11"/>
        <v>Continuer</v>
      </c>
      <c r="S21"/>
    </row>
    <row r="22" spans="2:19" x14ac:dyDescent="0.3">
      <c r="B22" s="18"/>
      <c r="C22" s="18"/>
      <c r="D22" s="18"/>
      <c r="E22" s="18"/>
      <c r="G22" s="4">
        <f t="shared" ca="1" si="0"/>
        <v>19</v>
      </c>
      <c r="H22">
        <f t="shared" ca="1" si="4"/>
        <v>51.783587034699906</v>
      </c>
      <c r="I22">
        <f t="shared" ca="1" si="5"/>
        <v>48.934253298255385</v>
      </c>
      <c r="J22">
        <f t="shared" ca="1" si="6"/>
        <v>46.897310665164902</v>
      </c>
      <c r="K22">
        <f t="shared" ca="1" si="7"/>
        <v>45.021949524409017</v>
      </c>
      <c r="L22">
        <f t="shared" ca="1" si="1"/>
        <v>95.079455038771741</v>
      </c>
      <c r="M22">
        <f t="shared" ca="1" si="2"/>
        <v>53.796026090294006</v>
      </c>
      <c r="N22">
        <f t="shared" ca="1" si="8"/>
        <v>41.283428948477734</v>
      </c>
      <c r="O22" t="str">
        <f t="shared" ca="1" si="3"/>
        <v>J1</v>
      </c>
      <c r="P22">
        <f t="shared" ca="1" si="9"/>
        <v>116.12204824608067</v>
      </c>
      <c r="Q22">
        <f t="shared" ca="1" si="10"/>
        <v>42.867951753919321</v>
      </c>
      <c r="R22" s="12" t="str">
        <f t="shared" ca="1" si="11"/>
        <v>Continuer</v>
      </c>
      <c r="S22"/>
    </row>
    <row r="23" spans="2:19" x14ac:dyDescent="0.3">
      <c r="B23" s="18"/>
      <c r="C23" s="18"/>
      <c r="D23" s="18"/>
      <c r="E23" s="18"/>
      <c r="G23" s="4">
        <f t="shared" ca="1" si="0"/>
        <v>20</v>
      </c>
      <c r="H23">
        <f t="shared" ca="1" si="4"/>
        <v>44.212561112066751</v>
      </c>
      <c r="I23">
        <f t="shared" ca="1" si="5"/>
        <v>46.573407205161068</v>
      </c>
      <c r="J23">
        <f t="shared" ca="1" si="6"/>
        <v>36.113117922530776</v>
      </c>
      <c r="K23">
        <f t="shared" ca="1" si="7"/>
        <v>40.567533723469893</v>
      </c>
      <c r="L23">
        <f t="shared" ca="1" si="1"/>
        <v>99.914796654320895</v>
      </c>
      <c r="M23">
        <f t="shared" ca="1" si="2"/>
        <v>46.234579717131481</v>
      </c>
      <c r="N23">
        <f t="shared" ca="1" si="8"/>
        <v>53.680216937189414</v>
      </c>
      <c r="O23" t="str">
        <f t="shared" ca="1" si="3"/>
        <v>J1</v>
      </c>
      <c r="P23">
        <f t="shared" ca="1" si="9"/>
        <v>126.85809163351855</v>
      </c>
      <c r="Q23">
        <f t="shared" ca="1" si="10"/>
        <v>32.13190836648144</v>
      </c>
      <c r="R23" s="12" t="str">
        <f t="shared" ca="1" si="11"/>
        <v>Continuer</v>
      </c>
      <c r="S23"/>
    </row>
    <row r="24" spans="2:19" x14ac:dyDescent="0.3">
      <c r="B24" s="18"/>
      <c r="C24" s="18"/>
      <c r="D24" s="18"/>
      <c r="E24" s="18"/>
      <c r="G24" s="4">
        <f t="shared" ca="1" si="0"/>
        <v>21</v>
      </c>
      <c r="H24">
        <f t="shared" ca="1" si="4"/>
        <v>40.703286674692485</v>
      </c>
      <c r="I24">
        <f t="shared" ca="1" si="5"/>
        <v>43.638346939926777</v>
      </c>
      <c r="J24">
        <f t="shared" ca="1" si="6"/>
        <v>31.942545262802632</v>
      </c>
      <c r="K24">
        <f t="shared" ca="1" si="7"/>
        <v>36.255039493136266</v>
      </c>
      <c r="L24">
        <f t="shared" ca="1" si="1"/>
        <v>106.2560029194337</v>
      </c>
      <c r="M24">
        <f t="shared" ca="1" si="2"/>
        <v>36.994351653791512</v>
      </c>
      <c r="N24">
        <f t="shared" ca="1" si="8"/>
        <v>69.261651265642186</v>
      </c>
      <c r="O24" t="str">
        <f t="shared" ca="1" si="3"/>
        <v>J1</v>
      </c>
      <c r="P24">
        <f t="shared" ca="1" si="9"/>
        <v>140.710421886647</v>
      </c>
      <c r="Q24">
        <f t="shared" ca="1" si="10"/>
        <v>18.279578113353004</v>
      </c>
      <c r="R24" s="12" t="str">
        <f t="shared" ca="1" si="11"/>
        <v>Continuer</v>
      </c>
      <c r="S24"/>
    </row>
    <row r="25" spans="2:19" x14ac:dyDescent="0.3">
      <c r="G25" s="4">
        <f t="shared" ca="1" si="0"/>
        <v>22</v>
      </c>
      <c r="H25">
        <f t="shared" ca="1" si="4"/>
        <v>-6.9778676396385109</v>
      </c>
      <c r="I25">
        <f t="shared" ca="1" si="5"/>
        <v>18.330239650144133</v>
      </c>
      <c r="J25">
        <f t="shared" ca="1" si="6"/>
        <v>47.675898397783065</v>
      </c>
      <c r="K25">
        <f t="shared" ca="1" si="7"/>
        <v>41.965468945459662</v>
      </c>
      <c r="L25">
        <f t="shared" ca="1" si="1"/>
        <v>105.82939118071054</v>
      </c>
      <c r="M25">
        <f t="shared" ca="1" si="2"/>
        <v>29.581892257530967</v>
      </c>
      <c r="N25">
        <f t="shared" ca="1" si="8"/>
        <v>76.247498923179577</v>
      </c>
      <c r="O25" t="str">
        <f t="shared" ca="1" si="3"/>
        <v>J1</v>
      </c>
      <c r="P25">
        <f t="shared" ca="1" si="9"/>
        <v>155.95992167128293</v>
      </c>
      <c r="Q25">
        <f t="shared" ca="1" si="10"/>
        <v>3.0300783287170887</v>
      </c>
      <c r="R25" s="12" t="str">
        <f t="shared" ca="1" si="11"/>
        <v>Continuer</v>
      </c>
      <c r="S25"/>
    </row>
    <row r="26" spans="2:19" ht="14.4" customHeight="1" x14ac:dyDescent="0.3">
      <c r="B26" s="19" t="s">
        <v>20</v>
      </c>
      <c r="C26" s="19"/>
      <c r="D26" s="19"/>
      <c r="E26" s="19"/>
      <c r="G26" s="4">
        <f t="shared" ca="1" si="0"/>
        <v>23</v>
      </c>
      <c r="H26">
        <f t="shared" ca="1" si="4"/>
        <v>-4.427396672498972</v>
      </c>
      <c r="I26">
        <f t="shared" ca="1" si="5"/>
        <v>6.9514214888225805</v>
      </c>
      <c r="J26">
        <f t="shared" ca="1" si="6"/>
        <v>52.038594723668915</v>
      </c>
      <c r="K26">
        <f t="shared" ca="1" si="7"/>
        <v>47.002031834564292</v>
      </c>
      <c r="L26">
        <f t="shared" ca="1" si="1"/>
        <v>111.95251376542707</v>
      </c>
      <c r="M26">
        <f t="shared" ca="1" si="2"/>
        <v>20.92186756392768</v>
      </c>
      <c r="N26">
        <f t="shared" ca="1" si="8"/>
        <v>91.030646201499394</v>
      </c>
      <c r="O26" t="str">
        <f t="shared" ca="1" si="3"/>
        <v>J1</v>
      </c>
      <c r="P26">
        <f t="shared" ca="1" si="9"/>
        <v>174.1660509115828</v>
      </c>
      <c r="Q26">
        <f t="shared" ca="1" si="10"/>
        <v>-15.176050911582792</v>
      </c>
      <c r="R26" s="12" t="str">
        <f t="shared" ca="1" si="11"/>
        <v>Arret</v>
      </c>
      <c r="S26"/>
    </row>
    <row r="27" spans="2:19" x14ac:dyDescent="0.3">
      <c r="B27" s="20" t="s">
        <v>21</v>
      </c>
      <c r="C27" s="19"/>
      <c r="D27" s="19"/>
      <c r="E27" s="19"/>
      <c r="G27" s="4" t="str">
        <f t="shared" ca="1" si="0"/>
        <v/>
      </c>
      <c r="H27" t="str">
        <f t="shared" ca="1" si="4"/>
        <v/>
      </c>
      <c r="I27" t="str">
        <f t="shared" ca="1" si="5"/>
        <v/>
      </c>
      <c r="J27" t="str">
        <f t="shared" ca="1" si="6"/>
        <v/>
      </c>
      <c r="K27" t="str">
        <f t="shared" ca="1" si="7"/>
        <v/>
      </c>
      <c r="L27" t="str">
        <f t="shared" ca="1" si="1"/>
        <v/>
      </c>
      <c r="M27" t="str">
        <f t="shared" ca="1" si="2"/>
        <v/>
      </c>
      <c r="N27" t="str">
        <f t="shared" ca="1" si="8"/>
        <v/>
      </c>
      <c r="O27" t="str">
        <f t="shared" ca="1" si="3"/>
        <v/>
      </c>
      <c r="P27" t="str">
        <f t="shared" ca="1" si="9"/>
        <v/>
      </c>
      <c r="Q27" t="str">
        <f t="shared" ca="1" si="10"/>
        <v/>
      </c>
      <c r="R27" s="12" t="str">
        <f t="shared" ca="1" si="11"/>
        <v/>
      </c>
      <c r="S27"/>
    </row>
    <row r="28" spans="2:19" x14ac:dyDescent="0.3">
      <c r="G28" s="4" t="str">
        <f t="shared" ca="1" si="0"/>
        <v/>
      </c>
      <c r="H28" t="str">
        <f t="shared" ca="1" si="4"/>
        <v/>
      </c>
      <c r="I28" t="str">
        <f t="shared" ca="1" si="5"/>
        <v/>
      </c>
      <c r="J28" t="str">
        <f t="shared" ca="1" si="6"/>
        <v/>
      </c>
      <c r="K28" t="str">
        <f t="shared" ca="1" si="7"/>
        <v/>
      </c>
      <c r="L28" t="str">
        <f t="shared" ca="1" si="1"/>
        <v/>
      </c>
      <c r="M28" t="str">
        <f t="shared" ca="1" si="2"/>
        <v/>
      </c>
      <c r="N28" t="str">
        <f t="shared" ca="1" si="8"/>
        <v/>
      </c>
      <c r="O28" t="str">
        <f t="shared" ca="1" si="3"/>
        <v/>
      </c>
      <c r="P28" t="str">
        <f t="shared" ca="1" si="9"/>
        <v/>
      </c>
      <c r="Q28" t="str">
        <f t="shared" ca="1" si="10"/>
        <v/>
      </c>
      <c r="R28" s="12" t="str">
        <f t="shared" ca="1" si="11"/>
        <v/>
      </c>
      <c r="S28"/>
    </row>
    <row r="29" spans="2:19" x14ac:dyDescent="0.3">
      <c r="G29" s="4" t="str">
        <f t="shared" ca="1" si="0"/>
        <v/>
      </c>
      <c r="H29" t="str">
        <f t="shared" ca="1" si="4"/>
        <v/>
      </c>
      <c r="I29" t="str">
        <f t="shared" ca="1" si="5"/>
        <v/>
      </c>
      <c r="J29" t="str">
        <f t="shared" ca="1" si="6"/>
        <v/>
      </c>
      <c r="K29" t="str">
        <f t="shared" ca="1" si="7"/>
        <v/>
      </c>
      <c r="L29" t="str">
        <f t="shared" ca="1" si="1"/>
        <v/>
      </c>
      <c r="M29" t="str">
        <f t="shared" ca="1" si="2"/>
        <v/>
      </c>
      <c r="N29" t="str">
        <f t="shared" ca="1" si="8"/>
        <v/>
      </c>
      <c r="O29" t="str">
        <f t="shared" ca="1" si="3"/>
        <v/>
      </c>
      <c r="P29" t="str">
        <f t="shared" ca="1" si="9"/>
        <v/>
      </c>
      <c r="Q29" t="str">
        <f t="shared" ca="1" si="10"/>
        <v/>
      </c>
      <c r="R29" s="12" t="str">
        <f t="shared" ca="1" si="11"/>
        <v/>
      </c>
      <c r="S29"/>
    </row>
    <row r="30" spans="2:19" x14ac:dyDescent="0.3">
      <c r="G30" s="4" t="str">
        <f t="shared" ca="1" si="0"/>
        <v/>
      </c>
      <c r="H30" t="str">
        <f t="shared" ca="1" si="4"/>
        <v/>
      </c>
      <c r="I30" t="str">
        <f t="shared" ca="1" si="5"/>
        <v/>
      </c>
      <c r="J30" t="str">
        <f t="shared" ca="1" si="6"/>
        <v/>
      </c>
      <c r="K30" t="str">
        <f t="shared" ca="1" si="7"/>
        <v/>
      </c>
      <c r="L30" t="str">
        <f t="shared" ca="1" si="1"/>
        <v/>
      </c>
      <c r="M30" t="str">
        <f t="shared" ca="1" si="2"/>
        <v/>
      </c>
      <c r="N30" t="str">
        <f t="shared" ca="1" si="8"/>
        <v/>
      </c>
      <c r="O30" t="str">
        <f t="shared" ca="1" si="3"/>
        <v/>
      </c>
      <c r="P30" t="str">
        <f t="shared" ca="1" si="9"/>
        <v/>
      </c>
      <c r="Q30" t="str">
        <f t="shared" ca="1" si="10"/>
        <v/>
      </c>
      <c r="R30" s="12" t="str">
        <f t="shared" ca="1" si="11"/>
        <v/>
      </c>
      <c r="S30"/>
    </row>
    <row r="31" spans="2:19" x14ac:dyDescent="0.3">
      <c r="G31" s="4" t="str">
        <f t="shared" ca="1" si="0"/>
        <v/>
      </c>
      <c r="H31" t="str">
        <f t="shared" ca="1" si="4"/>
        <v/>
      </c>
      <c r="I31" t="str">
        <f t="shared" ca="1" si="5"/>
        <v/>
      </c>
      <c r="J31" t="str">
        <f t="shared" ca="1" si="6"/>
        <v/>
      </c>
      <c r="K31" t="str">
        <f t="shared" ca="1" si="7"/>
        <v/>
      </c>
      <c r="L31" t="str">
        <f t="shared" ca="1" si="1"/>
        <v/>
      </c>
      <c r="M31" t="str">
        <f t="shared" ca="1" si="2"/>
        <v/>
      </c>
      <c r="N31" t="str">
        <f t="shared" ca="1" si="8"/>
        <v/>
      </c>
      <c r="O31" t="str">
        <f t="shared" ca="1" si="3"/>
        <v/>
      </c>
      <c r="P31" t="str">
        <f t="shared" ca="1" si="9"/>
        <v/>
      </c>
      <c r="Q31" t="str">
        <f t="shared" ca="1" si="10"/>
        <v/>
      </c>
      <c r="R31" s="12" t="str">
        <f t="shared" ca="1" si="11"/>
        <v/>
      </c>
      <c r="S31"/>
    </row>
    <row r="32" spans="2:19" x14ac:dyDescent="0.3">
      <c r="G32" s="4" t="str">
        <f t="shared" ca="1" si="0"/>
        <v/>
      </c>
      <c r="H32" t="str">
        <f t="shared" ca="1" si="4"/>
        <v/>
      </c>
      <c r="I32" t="str">
        <f t="shared" ca="1" si="5"/>
        <v/>
      </c>
      <c r="J32" t="str">
        <f t="shared" ca="1" si="6"/>
        <v/>
      </c>
      <c r="K32" t="str">
        <f t="shared" ca="1" si="7"/>
        <v/>
      </c>
      <c r="L32" t="str">
        <f t="shared" ca="1" si="1"/>
        <v/>
      </c>
      <c r="M32" t="str">
        <f t="shared" ca="1" si="2"/>
        <v/>
      </c>
      <c r="N32" t="str">
        <f t="shared" ca="1" si="8"/>
        <v/>
      </c>
      <c r="O32" t="str">
        <f t="shared" ca="1" si="3"/>
        <v/>
      </c>
      <c r="P32" t="str">
        <f t="shared" ca="1" si="9"/>
        <v/>
      </c>
      <c r="Q32" t="str">
        <f t="shared" ca="1" si="10"/>
        <v/>
      </c>
      <c r="R32" s="12" t="str">
        <f t="shared" ca="1" si="11"/>
        <v/>
      </c>
      <c r="S32"/>
    </row>
    <row r="33" spans="7:19" x14ac:dyDescent="0.3">
      <c r="G33" s="4" t="str">
        <f t="shared" ca="1" si="0"/>
        <v/>
      </c>
      <c r="H33" t="str">
        <f t="shared" ca="1" si="4"/>
        <v/>
      </c>
      <c r="I33" t="str">
        <f t="shared" ca="1" si="5"/>
        <v/>
      </c>
      <c r="J33" t="str">
        <f t="shared" ca="1" si="6"/>
        <v/>
      </c>
      <c r="K33" t="str">
        <f t="shared" ca="1" si="7"/>
        <v/>
      </c>
      <c r="L33" t="str">
        <f t="shared" ca="1" si="1"/>
        <v/>
      </c>
      <c r="M33" t="str">
        <f t="shared" ca="1" si="2"/>
        <v/>
      </c>
      <c r="N33" t="str">
        <f t="shared" ca="1" si="8"/>
        <v/>
      </c>
      <c r="O33" t="str">
        <f t="shared" ca="1" si="3"/>
        <v/>
      </c>
      <c r="P33" t="str">
        <f t="shared" ca="1" si="9"/>
        <v/>
      </c>
      <c r="Q33" t="str">
        <f t="shared" ca="1" si="10"/>
        <v/>
      </c>
      <c r="R33" s="12" t="str">
        <f t="shared" ca="1" si="11"/>
        <v/>
      </c>
      <c r="S33"/>
    </row>
    <row r="34" spans="7:19" x14ac:dyDescent="0.3">
      <c r="G34" s="4" t="str">
        <f t="shared" ca="1" si="0"/>
        <v/>
      </c>
      <c r="H34" t="str">
        <f t="shared" ca="1" si="4"/>
        <v/>
      </c>
      <c r="I34" t="str">
        <f t="shared" ca="1" si="5"/>
        <v/>
      </c>
      <c r="J34" t="str">
        <f t="shared" ca="1" si="6"/>
        <v/>
      </c>
      <c r="K34" t="str">
        <f t="shared" ca="1" si="7"/>
        <v/>
      </c>
      <c r="L34" t="str">
        <f t="shared" ca="1" si="1"/>
        <v/>
      </c>
      <c r="M34" t="str">
        <f t="shared" ca="1" si="2"/>
        <v/>
      </c>
      <c r="N34" t="str">
        <f t="shared" ca="1" si="8"/>
        <v/>
      </c>
      <c r="O34" t="str">
        <f t="shared" ca="1" si="3"/>
        <v/>
      </c>
      <c r="P34" t="str">
        <f t="shared" ca="1" si="9"/>
        <v/>
      </c>
      <c r="Q34" t="str">
        <f t="shared" ca="1" si="10"/>
        <v/>
      </c>
      <c r="R34" s="12" t="str">
        <f t="shared" ca="1" si="11"/>
        <v/>
      </c>
      <c r="S34"/>
    </row>
    <row r="35" spans="7:19" x14ac:dyDescent="0.3">
      <c r="G35" s="4" t="str">
        <f t="shared" ca="1" si="0"/>
        <v/>
      </c>
      <c r="H35" t="str">
        <f t="shared" ca="1" si="4"/>
        <v/>
      </c>
      <c r="I35" t="str">
        <f t="shared" ca="1" si="5"/>
        <v/>
      </c>
      <c r="J35" t="str">
        <f t="shared" ca="1" si="6"/>
        <v/>
      </c>
      <c r="K35" t="str">
        <f t="shared" ca="1" si="7"/>
        <v/>
      </c>
      <c r="L35" t="str">
        <f t="shared" ca="1" si="1"/>
        <v/>
      </c>
      <c r="M35" t="str">
        <f t="shared" ca="1" si="2"/>
        <v/>
      </c>
      <c r="N35" t="str">
        <f t="shared" ca="1" si="8"/>
        <v/>
      </c>
      <c r="O35" t="str">
        <f t="shared" ca="1" si="3"/>
        <v/>
      </c>
      <c r="P35" t="str">
        <f t="shared" ca="1" si="9"/>
        <v/>
      </c>
      <c r="Q35" t="str">
        <f t="shared" ca="1" si="10"/>
        <v/>
      </c>
      <c r="R35" s="12" t="str">
        <f t="shared" ca="1" si="11"/>
        <v/>
      </c>
      <c r="S35"/>
    </row>
    <row r="36" spans="7:19" x14ac:dyDescent="0.3">
      <c r="G36" s="4" t="str">
        <f t="shared" ca="1" si="0"/>
        <v/>
      </c>
      <c r="H36" t="str">
        <f t="shared" ca="1" si="4"/>
        <v/>
      </c>
      <c r="I36" t="str">
        <f t="shared" ca="1" si="5"/>
        <v/>
      </c>
      <c r="J36" t="str">
        <f t="shared" ca="1" si="6"/>
        <v/>
      </c>
      <c r="K36" t="str">
        <f t="shared" ca="1" si="7"/>
        <v/>
      </c>
      <c r="L36" t="str">
        <f t="shared" ca="1" si="1"/>
        <v/>
      </c>
      <c r="M36" t="str">
        <f t="shared" ca="1" si="2"/>
        <v/>
      </c>
      <c r="N36" t="str">
        <f t="shared" ca="1" si="8"/>
        <v/>
      </c>
      <c r="O36" t="str">
        <f t="shared" ca="1" si="3"/>
        <v/>
      </c>
      <c r="P36" t="str">
        <f t="shared" ca="1" si="9"/>
        <v/>
      </c>
      <c r="Q36" t="str">
        <f t="shared" ca="1" si="10"/>
        <v/>
      </c>
      <c r="R36" s="12" t="str">
        <f t="shared" ca="1" si="11"/>
        <v/>
      </c>
      <c r="S36"/>
    </row>
    <row r="37" spans="7:19" x14ac:dyDescent="0.3">
      <c r="G37" s="4" t="str">
        <f t="shared" ca="1" si="0"/>
        <v/>
      </c>
      <c r="H37" t="str">
        <f t="shared" ref="H37:H42" ca="1" si="12">IF(R36 = "Continuer", _xlfn.NORM.INV(RAND(), 40, 25), "")</f>
        <v/>
      </c>
      <c r="I37" t="str">
        <f t="shared" ca="1" si="5"/>
        <v/>
      </c>
      <c r="J37" t="str">
        <f t="shared" ref="J37:J42" ca="1" si="13">IF(R36 = "Continuer", _xlfn.NORM.INV(RAND(), 40, 25), "")</f>
        <v/>
      </c>
      <c r="K37" t="str">
        <f t="shared" ca="1" si="7"/>
        <v/>
      </c>
      <c r="L37" t="str">
        <f t="shared" ca="1" si="1"/>
        <v/>
      </c>
      <c r="M37" t="str">
        <f t="shared" ca="1" si="2"/>
        <v/>
      </c>
      <c r="N37" t="str">
        <f t="shared" ca="1" si="8"/>
        <v/>
      </c>
      <c r="O37" t="str">
        <f t="shared" ca="1" si="3"/>
        <v/>
      </c>
      <c r="P37" t="str">
        <f t="shared" ca="1" si="9"/>
        <v/>
      </c>
      <c r="Q37" t="str">
        <f t="shared" ca="1" si="10"/>
        <v/>
      </c>
      <c r="R37" s="12" t="str">
        <f t="shared" ref="R37:R42" ca="1" si="14">IF(R36 = "Continuer", IF(OR(P37&lt;=0, Q37&lt;=0), "Arret", "Continuer"), "")</f>
        <v/>
      </c>
      <c r="S37"/>
    </row>
    <row r="38" spans="7:19" x14ac:dyDescent="0.3">
      <c r="G38" s="4" t="str">
        <f t="shared" ca="1" si="0"/>
        <v/>
      </c>
      <c r="H38" t="str">
        <f t="shared" ca="1" si="12"/>
        <v/>
      </c>
      <c r="I38" t="str">
        <f t="shared" ca="1" si="5"/>
        <v/>
      </c>
      <c r="J38" t="str">
        <f t="shared" ca="1" si="13"/>
        <v/>
      </c>
      <c r="K38" t="str">
        <f t="shared" ca="1" si="7"/>
        <v/>
      </c>
      <c r="L38" t="str">
        <f t="shared" ca="1" si="1"/>
        <v/>
      </c>
      <c r="M38" t="str">
        <f t="shared" ca="1" si="2"/>
        <v/>
      </c>
      <c r="N38" t="str">
        <f t="shared" ca="1" si="8"/>
        <v/>
      </c>
      <c r="O38" t="str">
        <f t="shared" ca="1" si="3"/>
        <v/>
      </c>
      <c r="P38" t="str">
        <f t="shared" ca="1" si="9"/>
        <v/>
      </c>
      <c r="Q38" t="str">
        <f t="shared" ca="1" si="10"/>
        <v/>
      </c>
      <c r="R38" s="12" t="str">
        <f t="shared" ca="1" si="14"/>
        <v/>
      </c>
      <c r="S38"/>
    </row>
    <row r="39" spans="7:19" x14ac:dyDescent="0.3">
      <c r="G39" s="4" t="str">
        <f t="shared" ca="1" si="0"/>
        <v/>
      </c>
      <c r="H39" t="str">
        <f t="shared" ca="1" si="12"/>
        <v/>
      </c>
      <c r="I39" t="str">
        <f t="shared" ca="1" si="5"/>
        <v/>
      </c>
      <c r="J39" t="str">
        <f t="shared" ca="1" si="13"/>
        <v/>
      </c>
      <c r="K39" t="str">
        <f t="shared" ca="1" si="7"/>
        <v/>
      </c>
      <c r="L39" t="str">
        <f t="shared" ca="1" si="1"/>
        <v/>
      </c>
      <c r="M39" t="str">
        <f t="shared" ca="1" si="2"/>
        <v/>
      </c>
      <c r="N39" t="str">
        <f t="shared" ca="1" si="8"/>
        <v/>
      </c>
      <c r="O39" t="str">
        <f t="shared" ca="1" si="3"/>
        <v/>
      </c>
      <c r="P39" t="str">
        <f t="shared" ca="1" si="9"/>
        <v/>
      </c>
      <c r="Q39" t="str">
        <f t="shared" ca="1" si="10"/>
        <v/>
      </c>
      <c r="R39" s="12" t="str">
        <f t="shared" ca="1" si="14"/>
        <v/>
      </c>
      <c r="S39"/>
    </row>
    <row r="40" spans="7:19" x14ac:dyDescent="0.3">
      <c r="G40" s="4" t="str">
        <f t="shared" ca="1" si="0"/>
        <v/>
      </c>
      <c r="H40" t="str">
        <f t="shared" ca="1" si="12"/>
        <v/>
      </c>
      <c r="I40" t="str">
        <f t="shared" ca="1" si="5"/>
        <v/>
      </c>
      <c r="J40" t="str">
        <f t="shared" ca="1" si="13"/>
        <v/>
      </c>
      <c r="K40" t="str">
        <f t="shared" ca="1" si="7"/>
        <v/>
      </c>
      <c r="L40" t="str">
        <f t="shared" ca="1" si="1"/>
        <v/>
      </c>
      <c r="M40" t="str">
        <f t="shared" ca="1" si="2"/>
        <v/>
      </c>
      <c r="N40" t="str">
        <f t="shared" ca="1" si="8"/>
        <v/>
      </c>
      <c r="O40" t="str">
        <f t="shared" ca="1" si="3"/>
        <v/>
      </c>
      <c r="P40" t="str">
        <f t="shared" ca="1" si="9"/>
        <v/>
      </c>
      <c r="Q40" t="str">
        <f t="shared" ca="1" si="10"/>
        <v/>
      </c>
      <c r="R40" s="12" t="str">
        <f t="shared" ca="1" si="14"/>
        <v/>
      </c>
      <c r="S40"/>
    </row>
    <row r="41" spans="7:19" x14ac:dyDescent="0.3">
      <c r="G41" s="4" t="str">
        <f t="shared" ca="1" si="0"/>
        <v/>
      </c>
      <c r="H41" t="str">
        <f t="shared" ca="1" si="12"/>
        <v/>
      </c>
      <c r="I41" t="str">
        <f t="shared" ca="1" si="5"/>
        <v/>
      </c>
      <c r="J41" t="str">
        <f t="shared" ca="1" si="13"/>
        <v/>
      </c>
      <c r="K41" t="str">
        <f t="shared" ca="1" si="7"/>
        <v/>
      </c>
      <c r="L41" t="str">
        <f t="shared" ca="1" si="1"/>
        <v/>
      </c>
      <c r="M41" t="str">
        <f t="shared" ca="1" si="2"/>
        <v/>
      </c>
      <c r="N41" t="str">
        <f t="shared" ca="1" si="8"/>
        <v/>
      </c>
      <c r="O41" t="str">
        <f t="shared" ca="1" si="3"/>
        <v/>
      </c>
      <c r="P41" t="str">
        <f t="shared" ca="1" si="9"/>
        <v/>
      </c>
      <c r="Q41" t="str">
        <f t="shared" ca="1" si="10"/>
        <v/>
      </c>
      <c r="R41" s="12" t="str">
        <f t="shared" ca="1" si="14"/>
        <v/>
      </c>
      <c r="S41"/>
    </row>
    <row r="42" spans="7:19" ht="15" thickBot="1" x14ac:dyDescent="0.35">
      <c r="G42" s="6" t="str">
        <f t="shared" ca="1" si="0"/>
        <v/>
      </c>
      <c r="H42" s="7" t="str">
        <f t="shared" ca="1" si="12"/>
        <v/>
      </c>
      <c r="I42" s="7" t="str">
        <f t="shared" ca="1" si="5"/>
        <v/>
      </c>
      <c r="J42" s="7" t="str">
        <f t="shared" ca="1" si="13"/>
        <v/>
      </c>
      <c r="K42" s="7" t="str">
        <f ca="1">IF(R41 = "Continuer", AVERAGE(J42,K41), "")</f>
        <v/>
      </c>
      <c r="L42" s="7" t="str">
        <f t="shared" ca="1" si="1"/>
        <v/>
      </c>
      <c r="M42" s="7" t="str">
        <f t="shared" ca="1" si="2"/>
        <v/>
      </c>
      <c r="N42" s="7" t="str">
        <f t="shared" ca="1" si="8"/>
        <v/>
      </c>
      <c r="O42" s="7" t="str">
        <f t="shared" ca="1" si="3"/>
        <v/>
      </c>
      <c r="P42" s="7" t="str">
        <f t="shared" ca="1" si="9"/>
        <v/>
      </c>
      <c r="Q42" s="7" t="str">
        <f t="shared" ca="1" si="10"/>
        <v/>
      </c>
      <c r="R42" s="16" t="str">
        <f t="shared" ca="1" si="14"/>
        <v/>
      </c>
      <c r="S42"/>
    </row>
  </sheetData>
  <mergeCells count="3">
    <mergeCell ref="B12:E24"/>
    <mergeCell ref="B26:E26"/>
    <mergeCell ref="B27:E27"/>
  </mergeCells>
  <hyperlinks>
    <hyperlink ref="B27" r:id="rId1" xr:uid="{FA75C437-6D93-476F-8EB3-330E504A070A}"/>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B2A6F-883D-374A-BDA5-A5FE1A93D92E}">
  <dimension ref="A1:S383"/>
  <sheetViews>
    <sheetView zoomScale="106" workbookViewId="0">
      <selection activeCell="D7" sqref="D7"/>
    </sheetView>
  </sheetViews>
  <sheetFormatPr defaultColWidth="11.44140625" defaultRowHeight="14.4" x14ac:dyDescent="0.3"/>
  <cols>
    <col min="6" max="6" width="13.33203125" customWidth="1"/>
    <col min="8" max="8" width="19.6640625" customWidth="1"/>
    <col min="10" max="10" width="20.33203125" customWidth="1"/>
  </cols>
  <sheetData>
    <row r="1" spans="1:19" ht="15" thickBot="1" x14ac:dyDescent="0.35">
      <c r="A1" s="13"/>
      <c r="B1" s="13"/>
      <c r="C1" s="13"/>
      <c r="D1" s="13"/>
      <c r="E1" s="13" t="s">
        <v>18</v>
      </c>
      <c r="F1" s="13"/>
      <c r="G1" s="13"/>
      <c r="H1" s="13"/>
      <c r="I1" s="13"/>
      <c r="J1" s="13"/>
      <c r="K1" s="13"/>
      <c r="L1" s="13"/>
      <c r="M1" s="13"/>
      <c r="N1" s="13"/>
      <c r="O1" s="13"/>
      <c r="P1" s="13"/>
      <c r="Q1" s="13"/>
      <c r="R1" s="13"/>
      <c r="S1" s="13"/>
    </row>
    <row r="2" spans="1:19" x14ac:dyDescent="0.3">
      <c r="A2" s="13"/>
      <c r="B2" s="1"/>
      <c r="C2" s="2" t="s">
        <v>0</v>
      </c>
      <c r="D2" s="2" t="s">
        <v>1</v>
      </c>
      <c r="E2" s="3" t="s">
        <v>4</v>
      </c>
      <c r="F2" s="13"/>
      <c r="G2" s="9" t="s">
        <v>5</v>
      </c>
      <c r="H2" s="10"/>
      <c r="I2" s="10"/>
      <c r="J2" s="10"/>
      <c r="K2" s="10"/>
      <c r="L2" s="10"/>
      <c r="M2" s="10"/>
      <c r="N2" s="10"/>
      <c r="O2" s="10"/>
      <c r="P2" s="10"/>
      <c r="Q2" s="10"/>
      <c r="R2" s="11"/>
      <c r="S2" s="13"/>
    </row>
    <row r="3" spans="1:19" x14ac:dyDescent="0.3">
      <c r="A3" s="13"/>
      <c r="B3" s="4" t="s">
        <v>2</v>
      </c>
      <c r="C3" s="13">
        <v>69.709999999999994</v>
      </c>
      <c r="D3">
        <f>90-C3</f>
        <v>20.290000000000006</v>
      </c>
      <c r="E3" s="5" t="str">
        <f>IF(C3+D3=90, "OK", "Erreur : Doit être 90")</f>
        <v>OK</v>
      </c>
      <c r="F3" s="13"/>
      <c r="G3" s="4" t="s">
        <v>15</v>
      </c>
      <c r="H3" t="s">
        <v>6</v>
      </c>
      <c r="I3" t="s">
        <v>7</v>
      </c>
      <c r="J3" t="s">
        <v>8</v>
      </c>
      <c r="K3" t="s">
        <v>9</v>
      </c>
      <c r="L3" t="s">
        <v>10</v>
      </c>
      <c r="M3" t="s">
        <v>11</v>
      </c>
      <c r="N3" t="s">
        <v>17</v>
      </c>
      <c r="O3" t="s">
        <v>12</v>
      </c>
      <c r="P3" t="s">
        <v>13</v>
      </c>
      <c r="Q3" t="s">
        <v>14</v>
      </c>
      <c r="R3" s="12" t="s">
        <v>16</v>
      </c>
    </row>
    <row r="4" spans="1:19" ht="15" thickBot="1" x14ac:dyDescent="0.35">
      <c r="A4" s="13"/>
      <c r="B4" s="6" t="s">
        <v>3</v>
      </c>
      <c r="C4" s="14">
        <v>72.599999999999994</v>
      </c>
      <c r="D4" s="7">
        <f>90-C4</f>
        <v>17.400000000000006</v>
      </c>
      <c r="E4" s="8" t="str">
        <f>IF(C4+D4=90, "OK", "Erreur : Doit être 90")</f>
        <v>OK</v>
      </c>
      <c r="F4" s="13"/>
      <c r="G4" s="4">
        <f>IF(AND(E3 = "OK", E4 = "OK"), 1, "")</f>
        <v>1</v>
      </c>
      <c r="H4">
        <v>45.299822510208003</v>
      </c>
      <c r="I4">
        <f>IF(AND(E3 = "OK", E4 = "OK"), AVERAGE(H4, D3), "")</f>
        <v>32.794911255104005</v>
      </c>
      <c r="J4">
        <v>20.8843524860558</v>
      </c>
      <c r="K4">
        <f>IF(AND(E3 = "OK", E4 = "OK"), AVERAGE(J4,D4), "")</f>
        <v>19.142176243027905</v>
      </c>
      <c r="L4">
        <f>IF(AND(E3 = "OK", E4 = "OK"), (C3 * 0.7) + (I4 * 0.4), "")</f>
        <v>61.914964502041592</v>
      </c>
      <c r="M4">
        <f>IF(AND(E3 = "OK", E4 = "OK"), (C4 * 0.7) + (K4 * 0.4), "")</f>
        <v>58.476870497211152</v>
      </c>
      <c r="N4">
        <f>IF(AND(E3 = "OK", E4 = "OK"), ABS(L4-M4), "")</f>
        <v>3.4380940048304396</v>
      </c>
      <c r="O4" t="str">
        <f>IF(AND(E3 = "OK", E4 = "OK"), IF(L4&gt;M4, "J1", "J2"), "")</f>
        <v>J1</v>
      </c>
      <c r="P4">
        <f>IF(AND(E3 = "OK", E4 = "OK"), IF(L4&gt;M4, C3 + ABS(L4-M4)*0.2, C3 - ABS(L4-M4)*0.2),"")</f>
        <v>70.397618800966086</v>
      </c>
      <c r="Q4">
        <f>IF(AND(E3 = "OK", E4 = "OK"), IF(L4&lt;M4, C4 + ABS(L4-M4)*0.2, C4 - ABS(L4-M4)*0.2), "")</f>
        <v>71.912381199033902</v>
      </c>
      <c r="R4" s="12" t="str">
        <f>IF(AND(E3 = "OK", E4 = "OK"), IF(OR(P4&lt;=0, Q4&lt;=0), "Arret", "Continuer"), "Erreur")</f>
        <v>Continuer</v>
      </c>
    </row>
    <row r="5" spans="1:19" x14ac:dyDescent="0.3">
      <c r="A5" s="13"/>
      <c r="B5" s="13"/>
      <c r="C5" s="13"/>
      <c r="D5" s="13"/>
      <c r="E5" s="13"/>
      <c r="F5" s="13"/>
      <c r="G5" s="4">
        <f t="shared" ref="G5:G68" si="0">IF(R4 = "Continuer", G4+1, "")</f>
        <v>2</v>
      </c>
      <c r="H5">
        <v>76.3722493619441</v>
      </c>
      <c r="I5">
        <f>IF(R4 = "Continuer", AVERAGE(H5,I4), "")</f>
        <v>54.583580308524049</v>
      </c>
      <c r="J5">
        <v>39.481800559065903</v>
      </c>
      <c r="K5">
        <f>IF(R4 = "Continuer", AVERAGE(J5,K4), "")</f>
        <v>29.311988401046904</v>
      </c>
      <c r="L5">
        <f t="shared" ref="L5:L68" si="1">IF(R4 = "Continuer", (P4 * 0.7) + (I5 * 0.4), "")</f>
        <v>71.111765284085877</v>
      </c>
      <c r="M5">
        <f t="shared" ref="M5:M68" si="2">IF(R4 = "Continuer", (Q4 * 0.7) + (K5 * 0.4), "")</f>
        <v>62.063462199742489</v>
      </c>
      <c r="N5">
        <f>IF(R4 = "Continuer", ABS(L5-M5), "")</f>
        <v>9.048303084343388</v>
      </c>
      <c r="O5" t="str">
        <f t="shared" ref="O5:O68" si="3">IF(R4 = "Continuer", IF(L5&gt;M5, "J1", "J2"), "")</f>
        <v>J1</v>
      </c>
      <c r="P5">
        <f>IF(R4 = "Continuer", IF(L5&gt;M5, P4 + ABS(L5-M5)*0.2, P4 - ABS(L5-M5)*0.2), "")</f>
        <v>72.207279417834769</v>
      </c>
      <c r="Q5">
        <f>IF(R4 = "Continuer", IF(L5&lt;M5, Q4 + ABS(L5-M5)*0.2, Q4 - ABS(L5-M5)*0.2), "")</f>
        <v>70.102720582165219</v>
      </c>
      <c r="R5" s="12" t="str">
        <f>IF(R4 = "Continuer", IF(OR(P5&lt;=0, Q5&lt;=0), "Arret", "Continuer"), "")</f>
        <v>Continuer</v>
      </c>
    </row>
    <row r="6" spans="1:19" x14ac:dyDescent="0.3">
      <c r="A6" s="13"/>
      <c r="B6" s="13"/>
      <c r="C6" s="13"/>
      <c r="D6" s="13"/>
      <c r="E6" s="13"/>
      <c r="F6" s="13"/>
      <c r="G6" s="4">
        <f t="shared" si="0"/>
        <v>3</v>
      </c>
      <c r="H6">
        <v>49.0399709928137</v>
      </c>
      <c r="I6">
        <f t="shared" ref="I6:I69" si="4">IF(R5 = "Continuer", AVERAGE(H6,I5), "")</f>
        <v>51.811775650668878</v>
      </c>
      <c r="J6">
        <v>21.8954920418971</v>
      </c>
      <c r="K6">
        <f t="shared" ref="K6:K69" si="5">IF(R5 = "Continuer", AVERAGE(J6,K5), "")</f>
        <v>25.603740221472002</v>
      </c>
      <c r="L6">
        <f t="shared" si="1"/>
        <v>71.269805852751887</v>
      </c>
      <c r="M6">
        <f t="shared" si="2"/>
        <v>59.313400496104457</v>
      </c>
      <c r="N6">
        <f t="shared" ref="N6:N69" si="6">IF(R5 = "Continuer", ABS(L6-M6), "")</f>
        <v>11.95640535664743</v>
      </c>
      <c r="O6" t="str">
        <f t="shared" si="3"/>
        <v>J1</v>
      </c>
      <c r="P6">
        <f t="shared" ref="P6:P69" si="7">IF(R5 = "Continuer", IF(L6&gt;M6, P5 + ABS(L6-M6)*0.2, P5 - ABS(L6-M6)*0.2), "")</f>
        <v>74.598560489164257</v>
      </c>
      <c r="Q6">
        <f t="shared" ref="Q6:Q69" si="8">IF(R5 = "Continuer", IF(L6&lt;M6, Q5 + ABS(L6-M6)*0.2, Q5 - ABS(L6-M6)*0.2), "")</f>
        <v>67.711439510835731</v>
      </c>
      <c r="R6" s="12" t="str">
        <f t="shared" ref="R6:R69" si="9">IF(R5 = "Continuer", IF(OR(P6&lt;=0, Q6&lt;=0), "Arret", "Continuer"), "")</f>
        <v>Continuer</v>
      </c>
    </row>
    <row r="7" spans="1:19" x14ac:dyDescent="0.3">
      <c r="A7" s="13"/>
      <c r="B7" s="13"/>
      <c r="C7" s="13"/>
      <c r="D7" s="13"/>
      <c r="E7" s="13"/>
      <c r="F7" s="13"/>
      <c r="G7" s="4">
        <f t="shared" si="0"/>
        <v>4</v>
      </c>
      <c r="H7">
        <v>35.948595209124797</v>
      </c>
      <c r="I7">
        <f t="shared" si="4"/>
        <v>43.880185429896841</v>
      </c>
      <c r="J7">
        <v>59.568916872551597</v>
      </c>
      <c r="K7">
        <f t="shared" si="5"/>
        <v>42.586328547011803</v>
      </c>
      <c r="L7">
        <f t="shared" si="1"/>
        <v>69.771066514373715</v>
      </c>
      <c r="M7">
        <f t="shared" si="2"/>
        <v>64.43253907638973</v>
      </c>
      <c r="N7">
        <f t="shared" si="6"/>
        <v>5.3385274379839842</v>
      </c>
      <c r="O7" t="str">
        <f t="shared" si="3"/>
        <v>J1</v>
      </c>
      <c r="P7">
        <f t="shared" si="7"/>
        <v>75.666265976761053</v>
      </c>
      <c r="Q7">
        <f t="shared" si="8"/>
        <v>66.643734023238935</v>
      </c>
      <c r="R7" s="12" t="str">
        <f t="shared" si="9"/>
        <v>Continuer</v>
      </c>
    </row>
    <row r="8" spans="1:19" x14ac:dyDescent="0.3">
      <c r="A8" s="13"/>
      <c r="B8" s="13"/>
      <c r="C8" s="13"/>
      <c r="D8" s="13"/>
      <c r="E8" s="13"/>
      <c r="F8" s="13"/>
      <c r="G8" s="4">
        <f t="shared" si="0"/>
        <v>5</v>
      </c>
      <c r="H8">
        <v>29.580617249514699</v>
      </c>
      <c r="I8">
        <f t="shared" si="4"/>
        <v>36.730401339705772</v>
      </c>
      <c r="J8">
        <v>96.631958026548304</v>
      </c>
      <c r="K8">
        <f t="shared" si="5"/>
        <v>69.609143286780053</v>
      </c>
      <c r="L8">
        <f t="shared" si="1"/>
        <v>67.658546719615046</v>
      </c>
      <c r="M8">
        <f t="shared" si="2"/>
        <v>74.494271130979271</v>
      </c>
      <c r="N8">
        <f t="shared" si="6"/>
        <v>6.8357244113642253</v>
      </c>
      <c r="O8" t="str">
        <f t="shared" si="3"/>
        <v>J2</v>
      </c>
      <c r="P8">
        <f t="shared" si="7"/>
        <v>74.299121094488214</v>
      </c>
      <c r="Q8">
        <f t="shared" si="8"/>
        <v>68.010878905511774</v>
      </c>
      <c r="R8" s="12" t="str">
        <f t="shared" si="9"/>
        <v>Continuer</v>
      </c>
    </row>
    <row r="9" spans="1:19" x14ac:dyDescent="0.3">
      <c r="A9" s="13"/>
      <c r="B9" s="13"/>
      <c r="C9" s="13"/>
      <c r="D9" s="13"/>
      <c r="E9" s="13"/>
      <c r="F9" s="13"/>
      <c r="G9" s="4">
        <f t="shared" si="0"/>
        <v>6</v>
      </c>
      <c r="H9">
        <v>23.567515732761901</v>
      </c>
      <c r="I9">
        <f t="shared" si="4"/>
        <v>30.148958536233835</v>
      </c>
      <c r="J9">
        <v>-12.5930280910978</v>
      </c>
      <c r="K9">
        <f t="shared" si="5"/>
        <v>28.508057597841127</v>
      </c>
      <c r="L9">
        <f t="shared" si="1"/>
        <v>64.068968180635281</v>
      </c>
      <c r="M9">
        <f t="shared" si="2"/>
        <v>59.01083827299469</v>
      </c>
      <c r="N9">
        <f t="shared" si="6"/>
        <v>5.0581299076405912</v>
      </c>
      <c r="O9" t="str">
        <f t="shared" si="3"/>
        <v>J1</v>
      </c>
      <c r="P9">
        <f t="shared" si="7"/>
        <v>75.310747076016327</v>
      </c>
      <c r="Q9">
        <f t="shared" si="8"/>
        <v>66.999252923983661</v>
      </c>
      <c r="R9" s="12" t="str">
        <f t="shared" si="9"/>
        <v>Continuer</v>
      </c>
    </row>
    <row r="10" spans="1:19" ht="18" x14ac:dyDescent="0.35">
      <c r="A10" s="13"/>
      <c r="B10" s="13"/>
      <c r="C10" s="13"/>
      <c r="D10" s="13"/>
      <c r="E10" s="17"/>
      <c r="F10" s="13"/>
      <c r="G10" s="4">
        <f t="shared" si="0"/>
        <v>7</v>
      </c>
      <c r="H10">
        <v>29.905383237648799</v>
      </c>
      <c r="I10">
        <f t="shared" si="4"/>
        <v>30.027170886941317</v>
      </c>
      <c r="J10">
        <v>81.343877828286793</v>
      </c>
      <c r="K10">
        <f t="shared" si="5"/>
        <v>54.925967713063962</v>
      </c>
      <c r="L10">
        <f t="shared" si="1"/>
        <v>64.728391307987948</v>
      </c>
      <c r="M10">
        <f t="shared" si="2"/>
        <v>68.869864132014143</v>
      </c>
      <c r="N10">
        <f t="shared" si="6"/>
        <v>4.1414728240261951</v>
      </c>
      <c r="O10" t="str">
        <f t="shared" si="3"/>
        <v>J2</v>
      </c>
      <c r="P10">
        <f t="shared" si="7"/>
        <v>74.482452511211093</v>
      </c>
      <c r="Q10">
        <f t="shared" si="8"/>
        <v>67.827547488788895</v>
      </c>
      <c r="R10" s="12" t="str">
        <f t="shared" si="9"/>
        <v>Continuer</v>
      </c>
    </row>
    <row r="11" spans="1:19" x14ac:dyDescent="0.3">
      <c r="A11" s="13"/>
      <c r="B11" s="13"/>
      <c r="C11" s="13"/>
      <c r="D11" s="13"/>
      <c r="E11" s="13"/>
      <c r="F11" s="13"/>
      <c r="G11" s="4">
        <f t="shared" si="0"/>
        <v>8</v>
      </c>
      <c r="H11">
        <v>31.819098481197098</v>
      </c>
      <c r="I11">
        <f t="shared" si="4"/>
        <v>30.923134684069208</v>
      </c>
      <c r="J11">
        <v>60.027853331926003</v>
      </c>
      <c r="K11">
        <f t="shared" si="5"/>
        <v>57.476910522494983</v>
      </c>
      <c r="L11">
        <f t="shared" si="1"/>
        <v>64.50697063147544</v>
      </c>
      <c r="M11">
        <f t="shared" si="2"/>
        <v>70.470047451150208</v>
      </c>
      <c r="N11">
        <f t="shared" si="6"/>
        <v>5.9630768196747681</v>
      </c>
      <c r="O11" t="str">
        <f t="shared" si="3"/>
        <v>J2</v>
      </c>
      <c r="P11">
        <f t="shared" si="7"/>
        <v>73.289837147276145</v>
      </c>
      <c r="Q11">
        <f t="shared" si="8"/>
        <v>69.020162852723843</v>
      </c>
      <c r="R11" s="12" t="str">
        <f t="shared" si="9"/>
        <v>Continuer</v>
      </c>
    </row>
    <row r="12" spans="1:19" ht="18" x14ac:dyDescent="0.35">
      <c r="A12" s="13"/>
      <c r="B12" s="13"/>
      <c r="C12" s="13"/>
      <c r="D12" s="17"/>
      <c r="E12" s="17"/>
      <c r="F12" s="13"/>
      <c r="G12" s="4">
        <f t="shared" si="0"/>
        <v>9</v>
      </c>
      <c r="H12">
        <v>24.230574426798899</v>
      </c>
      <c r="I12">
        <f t="shared" si="4"/>
        <v>27.576854555434053</v>
      </c>
      <c r="J12">
        <v>9.8414873252819302</v>
      </c>
      <c r="K12">
        <f t="shared" si="5"/>
        <v>33.659198923888454</v>
      </c>
      <c r="L12">
        <f t="shared" si="1"/>
        <v>62.333627825266923</v>
      </c>
      <c r="M12">
        <f t="shared" si="2"/>
        <v>61.777793566462066</v>
      </c>
      <c r="N12">
        <f t="shared" si="6"/>
        <v>0.55583425880485748</v>
      </c>
      <c r="O12" t="str">
        <f t="shared" si="3"/>
        <v>J1</v>
      </c>
      <c r="P12">
        <f t="shared" si="7"/>
        <v>73.401003999037115</v>
      </c>
      <c r="Q12">
        <f t="shared" si="8"/>
        <v>68.908996000962873</v>
      </c>
      <c r="R12" s="12" t="str">
        <f t="shared" si="9"/>
        <v>Continuer</v>
      </c>
    </row>
    <row r="13" spans="1:19" x14ac:dyDescent="0.3">
      <c r="A13" s="13"/>
      <c r="B13" s="13"/>
      <c r="C13" s="13"/>
      <c r="D13" s="13"/>
      <c r="E13" s="13"/>
      <c r="F13" s="13"/>
      <c r="G13" s="4">
        <f t="shared" si="0"/>
        <v>10</v>
      </c>
      <c r="H13">
        <v>21.683620499701</v>
      </c>
      <c r="I13">
        <f t="shared" si="4"/>
        <v>24.630237527567527</v>
      </c>
      <c r="J13">
        <v>19.202625343970102</v>
      </c>
      <c r="K13">
        <f t="shared" si="5"/>
        <v>26.430912133929276</v>
      </c>
      <c r="L13">
        <f t="shared" si="1"/>
        <v>61.232797810352992</v>
      </c>
      <c r="M13">
        <f t="shared" si="2"/>
        <v>58.808662054245723</v>
      </c>
      <c r="N13">
        <f t="shared" si="6"/>
        <v>2.4241357561072689</v>
      </c>
      <c r="O13" t="str">
        <f t="shared" si="3"/>
        <v>J1</v>
      </c>
      <c r="P13">
        <f t="shared" si="7"/>
        <v>73.885831150258568</v>
      </c>
      <c r="Q13">
        <f t="shared" si="8"/>
        <v>68.42416884974142</v>
      </c>
      <c r="R13" s="12" t="str">
        <f t="shared" si="9"/>
        <v>Continuer</v>
      </c>
    </row>
    <row r="14" spans="1:19" x14ac:dyDescent="0.3">
      <c r="A14" s="13"/>
      <c r="B14" s="13"/>
      <c r="C14" s="13"/>
      <c r="D14" s="13"/>
      <c r="E14" s="13"/>
      <c r="F14" s="13"/>
      <c r="G14" s="4">
        <f t="shared" si="0"/>
        <v>11</v>
      </c>
      <c r="H14">
        <v>29.701652262240401</v>
      </c>
      <c r="I14">
        <f t="shared" si="4"/>
        <v>27.165944894903966</v>
      </c>
      <c r="J14">
        <v>85.748263711622599</v>
      </c>
      <c r="K14">
        <f t="shared" si="5"/>
        <v>56.089587922775934</v>
      </c>
      <c r="L14">
        <f t="shared" si="1"/>
        <v>62.586459763142585</v>
      </c>
      <c r="M14">
        <f t="shared" si="2"/>
        <v>70.33275336392937</v>
      </c>
      <c r="N14">
        <f t="shared" si="6"/>
        <v>7.7462936007867853</v>
      </c>
      <c r="O14" t="str">
        <f t="shared" si="3"/>
        <v>J2</v>
      </c>
      <c r="P14">
        <f t="shared" si="7"/>
        <v>72.336572430101214</v>
      </c>
      <c r="Q14">
        <f t="shared" si="8"/>
        <v>69.973427569898774</v>
      </c>
      <c r="R14" s="12" t="str">
        <f t="shared" si="9"/>
        <v>Continuer</v>
      </c>
    </row>
    <row r="15" spans="1:19" x14ac:dyDescent="0.3">
      <c r="A15" s="13"/>
      <c r="B15" s="13"/>
      <c r="C15" s="13"/>
      <c r="D15" s="13"/>
      <c r="E15" s="13"/>
      <c r="F15" s="13"/>
      <c r="G15" s="4">
        <f t="shared" si="0"/>
        <v>12</v>
      </c>
      <c r="H15">
        <v>29.8801754824147</v>
      </c>
      <c r="I15">
        <f t="shared" si="4"/>
        <v>28.523060188659333</v>
      </c>
      <c r="J15">
        <v>53.911033725766799</v>
      </c>
      <c r="K15">
        <f t="shared" si="5"/>
        <v>55.000310824271367</v>
      </c>
      <c r="L15">
        <f t="shared" si="1"/>
        <v>62.044824776534583</v>
      </c>
      <c r="M15">
        <f t="shared" si="2"/>
        <v>70.981523628637689</v>
      </c>
      <c r="N15">
        <f t="shared" si="6"/>
        <v>8.9366988521031061</v>
      </c>
      <c r="O15" t="str">
        <f t="shared" si="3"/>
        <v>J2</v>
      </c>
      <c r="P15">
        <f t="shared" si="7"/>
        <v>70.549232659680598</v>
      </c>
      <c r="Q15">
        <f t="shared" si="8"/>
        <v>71.76076734031939</v>
      </c>
      <c r="R15" s="12" t="str">
        <f t="shared" si="9"/>
        <v>Continuer</v>
      </c>
    </row>
    <row r="16" spans="1:19" x14ac:dyDescent="0.3">
      <c r="A16" s="13"/>
      <c r="B16" s="13"/>
      <c r="C16" s="13"/>
      <c r="D16" s="13"/>
      <c r="E16" s="13"/>
      <c r="F16" s="13"/>
      <c r="G16" s="4">
        <f t="shared" si="0"/>
        <v>13</v>
      </c>
      <c r="H16">
        <v>41.562136768100402</v>
      </c>
      <c r="I16">
        <f t="shared" si="4"/>
        <v>35.042598478379865</v>
      </c>
      <c r="J16">
        <v>38.208665042750098</v>
      </c>
      <c r="K16">
        <f t="shared" si="5"/>
        <v>46.604487933510732</v>
      </c>
      <c r="L16">
        <f t="shared" si="1"/>
        <v>63.401502253128356</v>
      </c>
      <c r="M16">
        <f t="shared" si="2"/>
        <v>68.874332311627867</v>
      </c>
      <c r="N16">
        <f t="shared" si="6"/>
        <v>5.4728300584995111</v>
      </c>
      <c r="O16" t="str">
        <f t="shared" si="3"/>
        <v>J2</v>
      </c>
      <c r="P16">
        <f t="shared" si="7"/>
        <v>69.454666647980702</v>
      </c>
      <c r="Q16">
        <f t="shared" si="8"/>
        <v>72.855333352019287</v>
      </c>
      <c r="R16" s="12" t="str">
        <f t="shared" si="9"/>
        <v>Continuer</v>
      </c>
    </row>
    <row r="17" spans="1:18" x14ac:dyDescent="0.3">
      <c r="A17" s="13"/>
      <c r="B17" s="13"/>
      <c r="C17" s="13"/>
      <c r="D17" s="13"/>
      <c r="E17" s="13"/>
      <c r="F17" s="13"/>
      <c r="G17" s="4">
        <f t="shared" si="0"/>
        <v>14</v>
      </c>
      <c r="H17">
        <v>9.5243614668330299</v>
      </c>
      <c r="I17">
        <f t="shared" si="4"/>
        <v>22.283479972606447</v>
      </c>
      <c r="J17">
        <v>17.895927228154999</v>
      </c>
      <c r="K17">
        <f t="shared" si="5"/>
        <v>32.250207580832864</v>
      </c>
      <c r="L17">
        <f t="shared" si="1"/>
        <v>57.531658642629068</v>
      </c>
      <c r="M17">
        <f t="shared" si="2"/>
        <v>63.898816378746645</v>
      </c>
      <c r="N17">
        <f t="shared" si="6"/>
        <v>6.3671577361175764</v>
      </c>
      <c r="O17" t="str">
        <f t="shared" si="3"/>
        <v>J2</v>
      </c>
      <c r="P17">
        <f t="shared" si="7"/>
        <v>68.181235100757192</v>
      </c>
      <c r="Q17">
        <f t="shared" si="8"/>
        <v>74.128764899242796</v>
      </c>
      <c r="R17" s="12" t="str">
        <f t="shared" si="9"/>
        <v>Continuer</v>
      </c>
    </row>
    <row r="18" spans="1:18" x14ac:dyDescent="0.3">
      <c r="A18" s="13"/>
      <c r="B18" s="13"/>
      <c r="C18" s="13"/>
      <c r="D18" s="13"/>
      <c r="E18" s="13"/>
      <c r="F18" s="13"/>
      <c r="G18" s="4">
        <f t="shared" si="0"/>
        <v>15</v>
      </c>
      <c r="H18">
        <v>51.451020269498997</v>
      </c>
      <c r="I18">
        <f t="shared" si="4"/>
        <v>36.86725012105272</v>
      </c>
      <c r="J18">
        <v>40.505833145599603</v>
      </c>
      <c r="K18">
        <f t="shared" si="5"/>
        <v>36.378020363216237</v>
      </c>
      <c r="L18">
        <f t="shared" si="1"/>
        <v>62.473764618951122</v>
      </c>
      <c r="M18">
        <f t="shared" si="2"/>
        <v>66.441343574756445</v>
      </c>
      <c r="N18">
        <f t="shared" si="6"/>
        <v>3.9675789558053225</v>
      </c>
      <c r="O18" t="str">
        <f t="shared" si="3"/>
        <v>J2</v>
      </c>
      <c r="P18">
        <f t="shared" si="7"/>
        <v>67.387719309596122</v>
      </c>
      <c r="Q18">
        <f t="shared" si="8"/>
        <v>74.922280690403866</v>
      </c>
      <c r="R18" s="12" t="str">
        <f t="shared" si="9"/>
        <v>Continuer</v>
      </c>
    </row>
    <row r="19" spans="1:18" x14ac:dyDescent="0.3">
      <c r="A19" s="13"/>
      <c r="B19" s="13"/>
      <c r="C19" s="13"/>
      <c r="D19" s="13"/>
      <c r="E19" s="13"/>
      <c r="F19" s="13"/>
      <c r="G19" s="4">
        <f t="shared" si="0"/>
        <v>16</v>
      </c>
      <c r="H19">
        <v>56.669724226568299</v>
      </c>
      <c r="I19">
        <f t="shared" si="4"/>
        <v>46.768487173810513</v>
      </c>
      <c r="J19">
        <v>39.5260068741783</v>
      </c>
      <c r="K19">
        <f t="shared" si="5"/>
        <v>37.952013618697265</v>
      </c>
      <c r="L19">
        <f t="shared" si="1"/>
        <v>65.878798386241485</v>
      </c>
      <c r="M19">
        <f t="shared" si="2"/>
        <v>67.626401930761617</v>
      </c>
      <c r="N19">
        <f t="shared" si="6"/>
        <v>1.7476035445201319</v>
      </c>
      <c r="O19" t="str">
        <f t="shared" si="3"/>
        <v>J2</v>
      </c>
      <c r="P19">
        <f t="shared" si="7"/>
        <v>67.038198600692098</v>
      </c>
      <c r="Q19">
        <f t="shared" si="8"/>
        <v>75.27180139930789</v>
      </c>
      <c r="R19" s="12" t="str">
        <f t="shared" si="9"/>
        <v>Continuer</v>
      </c>
    </row>
    <row r="20" spans="1:18" x14ac:dyDescent="0.3">
      <c r="A20" s="13"/>
      <c r="B20" s="13"/>
      <c r="C20" s="13"/>
      <c r="D20" s="13"/>
      <c r="E20" s="13"/>
      <c r="F20" s="13"/>
      <c r="G20" s="4">
        <f t="shared" si="0"/>
        <v>17</v>
      </c>
      <c r="H20">
        <v>56.630918876137301</v>
      </c>
      <c r="I20">
        <f t="shared" si="4"/>
        <v>51.699703024973907</v>
      </c>
      <c r="J20">
        <v>17.070689972177298</v>
      </c>
      <c r="K20">
        <f t="shared" si="5"/>
        <v>27.511351795437282</v>
      </c>
      <c r="L20">
        <f t="shared" si="1"/>
        <v>67.606620230474036</v>
      </c>
      <c r="M20">
        <f t="shared" si="2"/>
        <v>63.694801697690437</v>
      </c>
      <c r="N20">
        <f t="shared" si="6"/>
        <v>3.9118185327835988</v>
      </c>
      <c r="O20" t="str">
        <f t="shared" si="3"/>
        <v>J1</v>
      </c>
      <c r="P20">
        <f t="shared" si="7"/>
        <v>67.820562307248821</v>
      </c>
      <c r="Q20">
        <f t="shared" si="8"/>
        <v>74.489437692751167</v>
      </c>
      <c r="R20" s="12" t="str">
        <f t="shared" si="9"/>
        <v>Continuer</v>
      </c>
    </row>
    <row r="21" spans="1:18" x14ac:dyDescent="0.3">
      <c r="A21" s="13"/>
      <c r="B21" s="13"/>
      <c r="C21" s="13"/>
      <c r="D21" s="13"/>
      <c r="E21" s="13"/>
      <c r="F21" s="13"/>
      <c r="G21" s="4">
        <f t="shared" si="0"/>
        <v>18</v>
      </c>
      <c r="H21">
        <v>37.3849554621872</v>
      </c>
      <c r="I21">
        <f t="shared" si="4"/>
        <v>44.542329243580554</v>
      </c>
      <c r="J21">
        <v>87.512242093808496</v>
      </c>
      <c r="K21">
        <f t="shared" si="5"/>
        <v>57.511796944622887</v>
      </c>
      <c r="L21">
        <f t="shared" si="1"/>
        <v>65.291325312506387</v>
      </c>
      <c r="M21">
        <f t="shared" si="2"/>
        <v>75.147325162774962</v>
      </c>
      <c r="N21">
        <f t="shared" si="6"/>
        <v>9.8559998502685744</v>
      </c>
      <c r="O21" t="str">
        <f t="shared" si="3"/>
        <v>J2</v>
      </c>
      <c r="P21">
        <f t="shared" si="7"/>
        <v>65.849362337195103</v>
      </c>
      <c r="Q21">
        <f t="shared" si="8"/>
        <v>76.460637662804885</v>
      </c>
      <c r="R21" s="12" t="str">
        <f t="shared" si="9"/>
        <v>Continuer</v>
      </c>
    </row>
    <row r="22" spans="1:18" x14ac:dyDescent="0.3">
      <c r="A22" s="13"/>
      <c r="B22" s="13"/>
      <c r="C22" s="13"/>
      <c r="D22" s="13"/>
      <c r="E22" s="13"/>
      <c r="F22" s="13"/>
      <c r="G22" s="4">
        <f t="shared" si="0"/>
        <v>19</v>
      </c>
      <c r="H22">
        <v>56.198645696652598</v>
      </c>
      <c r="I22">
        <f t="shared" si="4"/>
        <v>50.370487470116572</v>
      </c>
      <c r="J22">
        <v>3.0048160997876798</v>
      </c>
      <c r="K22">
        <f t="shared" si="5"/>
        <v>30.258306522205284</v>
      </c>
      <c r="L22">
        <f t="shared" si="1"/>
        <v>66.242748624083205</v>
      </c>
      <c r="M22">
        <f t="shared" si="2"/>
        <v>65.625768972845535</v>
      </c>
      <c r="N22">
        <f t="shared" si="6"/>
        <v>0.61697965123767062</v>
      </c>
      <c r="O22" t="str">
        <f t="shared" si="3"/>
        <v>J1</v>
      </c>
      <c r="P22">
        <f t="shared" si="7"/>
        <v>65.972758267442643</v>
      </c>
      <c r="Q22">
        <f t="shared" si="8"/>
        <v>76.337241732557345</v>
      </c>
      <c r="R22" s="12" t="str">
        <f t="shared" si="9"/>
        <v>Continuer</v>
      </c>
    </row>
    <row r="23" spans="1:18" x14ac:dyDescent="0.3">
      <c r="A23" s="13"/>
      <c r="B23" s="13"/>
      <c r="C23" s="13"/>
      <c r="D23" s="13"/>
      <c r="E23" s="13"/>
      <c r="F23" s="13"/>
      <c r="G23" s="4">
        <f t="shared" si="0"/>
        <v>20</v>
      </c>
      <c r="H23">
        <v>73.670201763801401</v>
      </c>
      <c r="I23">
        <f t="shared" si="4"/>
        <v>62.020344616958987</v>
      </c>
      <c r="J23">
        <v>7.88248967242642</v>
      </c>
      <c r="K23">
        <f t="shared" si="5"/>
        <v>19.070398097315852</v>
      </c>
      <c r="L23">
        <f t="shared" si="1"/>
        <v>70.98906863399344</v>
      </c>
      <c r="M23">
        <f t="shared" si="2"/>
        <v>61.064228451716481</v>
      </c>
      <c r="N23">
        <f t="shared" si="6"/>
        <v>9.9248401822769594</v>
      </c>
      <c r="O23" t="str">
        <f t="shared" si="3"/>
        <v>J1</v>
      </c>
      <c r="P23">
        <f t="shared" si="7"/>
        <v>67.957726303898028</v>
      </c>
      <c r="Q23">
        <f t="shared" si="8"/>
        <v>74.352273696101946</v>
      </c>
      <c r="R23" s="12" t="str">
        <f t="shared" si="9"/>
        <v>Continuer</v>
      </c>
    </row>
    <row r="24" spans="1:18" x14ac:dyDescent="0.3">
      <c r="A24" s="13"/>
      <c r="B24" s="13"/>
      <c r="C24" s="13"/>
      <c r="D24" s="13"/>
      <c r="E24" s="13"/>
      <c r="F24" s="13"/>
      <c r="G24" s="4">
        <f t="shared" si="0"/>
        <v>21</v>
      </c>
      <c r="H24">
        <v>40.6140571862298</v>
      </c>
      <c r="I24">
        <f t="shared" si="4"/>
        <v>51.31720090159439</v>
      </c>
      <c r="J24">
        <v>35.155577335458503</v>
      </c>
      <c r="K24">
        <f t="shared" si="5"/>
        <v>27.112987716387178</v>
      </c>
      <c r="L24">
        <f t="shared" si="1"/>
        <v>68.097288773366373</v>
      </c>
      <c r="M24">
        <f t="shared" si="2"/>
        <v>62.891786673826232</v>
      </c>
      <c r="N24">
        <f t="shared" si="6"/>
        <v>5.2055020995401406</v>
      </c>
      <c r="O24" t="str">
        <f t="shared" si="3"/>
        <v>J1</v>
      </c>
      <c r="P24">
        <f t="shared" si="7"/>
        <v>68.998826723806062</v>
      </c>
      <c r="Q24">
        <f t="shared" si="8"/>
        <v>73.311173276193912</v>
      </c>
      <c r="R24" s="12" t="str">
        <f t="shared" si="9"/>
        <v>Continuer</v>
      </c>
    </row>
    <row r="25" spans="1:18" x14ac:dyDescent="0.3">
      <c r="A25" s="13"/>
      <c r="B25" s="13"/>
      <c r="C25" s="13"/>
      <c r="D25" s="13"/>
      <c r="E25" s="13"/>
      <c r="F25" s="13"/>
      <c r="G25" s="4">
        <f t="shared" si="0"/>
        <v>22</v>
      </c>
      <c r="H25">
        <v>44.710492134422402</v>
      </c>
      <c r="I25">
        <f t="shared" si="4"/>
        <v>48.013846518008393</v>
      </c>
      <c r="J25">
        <v>46.292738028618302</v>
      </c>
      <c r="K25">
        <f t="shared" si="5"/>
        <v>36.702862872502742</v>
      </c>
      <c r="L25">
        <f t="shared" si="1"/>
        <v>67.504717313867602</v>
      </c>
      <c r="M25">
        <f t="shared" si="2"/>
        <v>65.998966442336837</v>
      </c>
      <c r="N25">
        <f t="shared" si="6"/>
        <v>1.5057508715307648</v>
      </c>
      <c r="O25" t="str">
        <f t="shared" si="3"/>
        <v>J1</v>
      </c>
      <c r="P25">
        <f t="shared" si="7"/>
        <v>69.29997689811222</v>
      </c>
      <c r="Q25">
        <f t="shared" si="8"/>
        <v>73.010023101887754</v>
      </c>
      <c r="R25" s="12" t="str">
        <f t="shared" si="9"/>
        <v>Continuer</v>
      </c>
    </row>
    <row r="26" spans="1:18" x14ac:dyDescent="0.3">
      <c r="A26" s="13"/>
      <c r="B26" s="13"/>
      <c r="C26" s="13"/>
      <c r="D26" s="13"/>
      <c r="E26" s="13"/>
      <c r="F26" s="13"/>
      <c r="G26" s="4">
        <f t="shared" si="0"/>
        <v>23</v>
      </c>
      <c r="H26">
        <v>21.0597140890338</v>
      </c>
      <c r="I26">
        <f t="shared" si="4"/>
        <v>34.536780303521098</v>
      </c>
      <c r="J26">
        <v>17.838932832079699</v>
      </c>
      <c r="K26">
        <f t="shared" si="5"/>
        <v>27.27089785229122</v>
      </c>
      <c r="L26">
        <f t="shared" si="1"/>
        <v>62.324695950086991</v>
      </c>
      <c r="M26">
        <f t="shared" si="2"/>
        <v>62.015375312237914</v>
      </c>
      <c r="N26">
        <f t="shared" si="6"/>
        <v>0.30932063784907626</v>
      </c>
      <c r="O26" t="str">
        <f t="shared" si="3"/>
        <v>J1</v>
      </c>
      <c r="P26">
        <f t="shared" si="7"/>
        <v>69.36184102568204</v>
      </c>
      <c r="Q26">
        <f t="shared" si="8"/>
        <v>72.948158974317934</v>
      </c>
      <c r="R26" s="12" t="str">
        <f t="shared" si="9"/>
        <v>Continuer</v>
      </c>
    </row>
    <row r="27" spans="1:18" x14ac:dyDescent="0.3">
      <c r="A27" s="13"/>
      <c r="B27" s="13"/>
      <c r="C27" s="13"/>
      <c r="D27" s="13"/>
      <c r="E27" s="13"/>
      <c r="F27" s="13"/>
      <c r="G27" s="4">
        <f t="shared" si="0"/>
        <v>24</v>
      </c>
      <c r="H27">
        <v>58.564928869793803</v>
      </c>
      <c r="I27">
        <f t="shared" si="4"/>
        <v>46.550854586657451</v>
      </c>
      <c r="J27">
        <v>47.876431067435902</v>
      </c>
      <c r="K27">
        <f t="shared" si="5"/>
        <v>37.573664459863565</v>
      </c>
      <c r="L27">
        <f t="shared" si="1"/>
        <v>67.173630552640404</v>
      </c>
      <c r="M27">
        <f t="shared" si="2"/>
        <v>66.093177065967978</v>
      </c>
      <c r="N27">
        <f t="shared" si="6"/>
        <v>1.0804534866724254</v>
      </c>
      <c r="O27" t="str">
        <f t="shared" si="3"/>
        <v>J1</v>
      </c>
      <c r="P27">
        <f t="shared" si="7"/>
        <v>69.577931723016519</v>
      </c>
      <c r="Q27">
        <f t="shared" si="8"/>
        <v>72.732068276983455</v>
      </c>
      <c r="R27" s="12" t="str">
        <f t="shared" si="9"/>
        <v>Continuer</v>
      </c>
    </row>
    <row r="28" spans="1:18" x14ac:dyDescent="0.3">
      <c r="A28" s="13"/>
      <c r="B28" s="13"/>
      <c r="C28" s="13"/>
      <c r="D28" s="13"/>
      <c r="E28" s="13"/>
      <c r="F28" s="13"/>
      <c r="G28" s="4">
        <f t="shared" si="0"/>
        <v>25</v>
      </c>
      <c r="H28">
        <v>35.797201996229603</v>
      </c>
      <c r="I28">
        <f t="shared" si="4"/>
        <v>41.174028291443527</v>
      </c>
      <c r="J28">
        <v>4.0543700418299702</v>
      </c>
      <c r="K28">
        <f t="shared" si="5"/>
        <v>20.814017250846767</v>
      </c>
      <c r="L28">
        <f t="shared" si="1"/>
        <v>65.174163522688971</v>
      </c>
      <c r="M28">
        <f t="shared" si="2"/>
        <v>59.238054694227124</v>
      </c>
      <c r="N28">
        <f t="shared" si="6"/>
        <v>5.9361088284618475</v>
      </c>
      <c r="O28" t="str">
        <f t="shared" si="3"/>
        <v>J1</v>
      </c>
      <c r="P28">
        <f t="shared" si="7"/>
        <v>70.76515348870889</v>
      </c>
      <c r="Q28">
        <f t="shared" si="8"/>
        <v>71.544846511291084</v>
      </c>
      <c r="R28" s="12" t="str">
        <f t="shared" si="9"/>
        <v>Continuer</v>
      </c>
    </row>
    <row r="29" spans="1:18" x14ac:dyDescent="0.3">
      <c r="A29" s="13"/>
      <c r="B29" s="13"/>
      <c r="C29" s="13"/>
      <c r="D29" s="13"/>
      <c r="E29" s="13"/>
      <c r="F29" s="13"/>
      <c r="G29" s="4">
        <f t="shared" si="0"/>
        <v>26</v>
      </c>
      <c r="H29">
        <v>-13.116392618302299</v>
      </c>
      <c r="I29">
        <f t="shared" si="4"/>
        <v>14.028817836570614</v>
      </c>
      <c r="J29">
        <v>23.112622641459701</v>
      </c>
      <c r="K29">
        <f t="shared" si="5"/>
        <v>21.963319946153234</v>
      </c>
      <c r="L29">
        <f t="shared" si="1"/>
        <v>55.147134576724469</v>
      </c>
      <c r="M29">
        <f t="shared" si="2"/>
        <v>58.866720536365051</v>
      </c>
      <c r="N29">
        <f t="shared" si="6"/>
        <v>3.7195859596405825</v>
      </c>
      <c r="O29" t="str">
        <f t="shared" si="3"/>
        <v>J2</v>
      </c>
      <c r="P29">
        <f t="shared" si="7"/>
        <v>70.021236296780771</v>
      </c>
      <c r="Q29">
        <f t="shared" si="8"/>
        <v>72.288763703219203</v>
      </c>
      <c r="R29" s="12" t="str">
        <f t="shared" si="9"/>
        <v>Continuer</v>
      </c>
    </row>
    <row r="30" spans="1:18" x14ac:dyDescent="0.3">
      <c r="A30" s="13"/>
      <c r="B30" s="13"/>
      <c r="C30" s="13"/>
      <c r="D30" s="13"/>
      <c r="E30" s="13"/>
      <c r="F30" s="13"/>
      <c r="G30" s="4">
        <f t="shared" si="0"/>
        <v>27</v>
      </c>
      <c r="H30">
        <v>18.212634866680101</v>
      </c>
      <c r="I30">
        <f t="shared" si="4"/>
        <v>16.120726351625358</v>
      </c>
      <c r="J30">
        <v>51.0493041780475</v>
      </c>
      <c r="K30">
        <f t="shared" si="5"/>
        <v>36.506312062100363</v>
      </c>
      <c r="L30">
        <f t="shared" si="1"/>
        <v>55.463155948396675</v>
      </c>
      <c r="M30">
        <f t="shared" si="2"/>
        <v>65.20465941709358</v>
      </c>
      <c r="N30">
        <f t="shared" si="6"/>
        <v>9.7415034686969051</v>
      </c>
      <c r="O30" t="str">
        <f t="shared" si="3"/>
        <v>J2</v>
      </c>
      <c r="P30">
        <f t="shared" si="7"/>
        <v>68.072935603041387</v>
      </c>
      <c r="Q30">
        <f t="shared" si="8"/>
        <v>74.237064396958587</v>
      </c>
      <c r="R30" s="12" t="str">
        <f t="shared" si="9"/>
        <v>Continuer</v>
      </c>
    </row>
    <row r="31" spans="1:18" x14ac:dyDescent="0.3">
      <c r="A31" s="13"/>
      <c r="B31" s="13"/>
      <c r="C31" s="13"/>
      <c r="D31" s="13"/>
      <c r="E31" s="13"/>
      <c r="F31" s="13"/>
      <c r="G31" s="4">
        <f t="shared" si="0"/>
        <v>28</v>
      </c>
      <c r="H31">
        <v>29.278146264385001</v>
      </c>
      <c r="I31">
        <f t="shared" si="4"/>
        <v>22.699436308005179</v>
      </c>
      <c r="J31">
        <v>10.384822344635401</v>
      </c>
      <c r="K31">
        <f t="shared" si="5"/>
        <v>23.445567203367883</v>
      </c>
      <c r="L31">
        <f t="shared" si="1"/>
        <v>56.73082944533104</v>
      </c>
      <c r="M31">
        <f t="shared" si="2"/>
        <v>61.344171959218158</v>
      </c>
      <c r="N31">
        <f t="shared" si="6"/>
        <v>4.6133425138871189</v>
      </c>
      <c r="O31" t="str">
        <f t="shared" si="3"/>
        <v>J2</v>
      </c>
      <c r="P31">
        <f t="shared" si="7"/>
        <v>67.15026710026396</v>
      </c>
      <c r="Q31">
        <f t="shared" si="8"/>
        <v>75.159732899736014</v>
      </c>
      <c r="R31" s="12" t="str">
        <f t="shared" si="9"/>
        <v>Continuer</v>
      </c>
    </row>
    <row r="32" spans="1:18" x14ac:dyDescent="0.3">
      <c r="A32" s="13"/>
      <c r="B32" s="13"/>
      <c r="C32" s="13"/>
      <c r="D32" s="13"/>
      <c r="E32" s="13"/>
      <c r="F32" s="13"/>
      <c r="G32" s="4">
        <f t="shared" si="0"/>
        <v>29</v>
      </c>
      <c r="H32">
        <v>61.950707449006103</v>
      </c>
      <c r="I32">
        <f t="shared" si="4"/>
        <v>42.325071878505639</v>
      </c>
      <c r="J32">
        <v>51.055355345424601</v>
      </c>
      <c r="K32">
        <f t="shared" si="5"/>
        <v>37.250461274396244</v>
      </c>
      <c r="L32">
        <f t="shared" si="1"/>
        <v>63.935215721587028</v>
      </c>
      <c r="M32">
        <f t="shared" si="2"/>
        <v>67.511997539573713</v>
      </c>
      <c r="N32">
        <f t="shared" si="6"/>
        <v>3.576781817986685</v>
      </c>
      <c r="O32" t="str">
        <f t="shared" si="3"/>
        <v>J2</v>
      </c>
      <c r="P32">
        <f t="shared" si="7"/>
        <v>66.434910736666623</v>
      </c>
      <c r="Q32">
        <f t="shared" si="8"/>
        <v>75.875089263333351</v>
      </c>
      <c r="R32" s="12" t="str">
        <f t="shared" si="9"/>
        <v>Continuer</v>
      </c>
    </row>
    <row r="33" spans="1:19" x14ac:dyDescent="0.3">
      <c r="A33" s="13"/>
      <c r="B33" s="13"/>
      <c r="C33" s="13"/>
      <c r="D33" s="13"/>
      <c r="E33" s="13"/>
      <c r="F33" s="13"/>
      <c r="G33" s="4">
        <f t="shared" si="0"/>
        <v>30</v>
      </c>
      <c r="H33">
        <v>62.180907456683698</v>
      </c>
      <c r="I33">
        <f t="shared" si="4"/>
        <v>52.252989667594669</v>
      </c>
      <c r="J33">
        <v>64.626711181825399</v>
      </c>
      <c r="K33">
        <f t="shared" si="5"/>
        <v>50.938586228110822</v>
      </c>
      <c r="L33">
        <f t="shared" si="1"/>
        <v>67.405633382704508</v>
      </c>
      <c r="M33">
        <f t="shared" si="2"/>
        <v>73.487996975577673</v>
      </c>
      <c r="N33">
        <f t="shared" si="6"/>
        <v>6.0823635928731647</v>
      </c>
      <c r="O33" t="str">
        <f t="shared" si="3"/>
        <v>J2</v>
      </c>
      <c r="P33">
        <f t="shared" si="7"/>
        <v>65.218438018091987</v>
      </c>
      <c r="Q33">
        <f t="shared" si="8"/>
        <v>77.091561981907986</v>
      </c>
      <c r="R33" s="12" t="str">
        <f t="shared" si="9"/>
        <v>Continuer</v>
      </c>
    </row>
    <row r="34" spans="1:19" x14ac:dyDescent="0.3">
      <c r="A34" s="13"/>
      <c r="B34" s="13"/>
      <c r="C34" s="13"/>
      <c r="D34" s="13"/>
      <c r="E34" s="13"/>
      <c r="F34" s="13"/>
      <c r="G34" s="4">
        <f t="shared" si="0"/>
        <v>31</v>
      </c>
      <c r="H34">
        <v>50.364694643699202</v>
      </c>
      <c r="I34">
        <f t="shared" si="4"/>
        <v>51.308842155646936</v>
      </c>
      <c r="J34">
        <v>12.973976737184501</v>
      </c>
      <c r="K34">
        <f t="shared" si="5"/>
        <v>31.956281482647661</v>
      </c>
      <c r="L34">
        <f t="shared" si="1"/>
        <v>66.176443474923161</v>
      </c>
      <c r="M34">
        <f t="shared" si="2"/>
        <v>66.746605980394648</v>
      </c>
      <c r="N34">
        <f t="shared" si="6"/>
        <v>0.57016250547148672</v>
      </c>
      <c r="O34" t="str">
        <f t="shared" si="3"/>
        <v>J2</v>
      </c>
      <c r="P34">
        <f t="shared" si="7"/>
        <v>65.104405516997687</v>
      </c>
      <c r="Q34">
        <f t="shared" si="8"/>
        <v>77.205594483002287</v>
      </c>
      <c r="R34" s="12" t="str">
        <f t="shared" si="9"/>
        <v>Continuer</v>
      </c>
    </row>
    <row r="35" spans="1:19" x14ac:dyDescent="0.3">
      <c r="A35" s="13"/>
      <c r="B35" s="13"/>
      <c r="C35" s="13"/>
      <c r="D35" s="13"/>
      <c r="E35" s="13"/>
      <c r="F35" s="13"/>
      <c r="G35" s="4">
        <f t="shared" si="0"/>
        <v>32</v>
      </c>
      <c r="H35">
        <v>107.405925914875</v>
      </c>
      <c r="I35">
        <f t="shared" si="4"/>
        <v>79.357384035260964</v>
      </c>
      <c r="J35">
        <v>32.733020314468803</v>
      </c>
      <c r="K35">
        <f t="shared" si="5"/>
        <v>32.344650898558228</v>
      </c>
      <c r="L35">
        <f t="shared" si="1"/>
        <v>77.316037476002762</v>
      </c>
      <c r="M35">
        <f t="shared" si="2"/>
        <v>66.981776497524891</v>
      </c>
      <c r="N35">
        <f t="shared" si="6"/>
        <v>10.334260978477872</v>
      </c>
      <c r="O35" t="str">
        <f t="shared" si="3"/>
        <v>J1</v>
      </c>
      <c r="P35">
        <f t="shared" si="7"/>
        <v>67.171257712693262</v>
      </c>
      <c r="Q35">
        <f t="shared" si="8"/>
        <v>75.138742287306712</v>
      </c>
      <c r="R35" s="12" t="str">
        <f t="shared" si="9"/>
        <v>Continuer</v>
      </c>
    </row>
    <row r="36" spans="1:19" x14ac:dyDescent="0.3">
      <c r="A36" s="13"/>
      <c r="B36" s="13"/>
      <c r="C36" s="13"/>
      <c r="D36" s="13"/>
      <c r="E36" s="13"/>
      <c r="F36" s="13"/>
      <c r="G36" s="4">
        <f t="shared" si="0"/>
        <v>33</v>
      </c>
      <c r="H36">
        <v>23.6841059603987</v>
      </c>
      <c r="I36">
        <f t="shared" si="4"/>
        <v>51.52074499782983</v>
      </c>
      <c r="J36">
        <v>1.3399355531736299</v>
      </c>
      <c r="K36">
        <f t="shared" si="5"/>
        <v>16.84229322586593</v>
      </c>
      <c r="L36">
        <f t="shared" si="1"/>
        <v>67.628178398017212</v>
      </c>
      <c r="M36">
        <f t="shared" si="2"/>
        <v>59.334036891461068</v>
      </c>
      <c r="N36">
        <f t="shared" si="6"/>
        <v>8.2941415065561443</v>
      </c>
      <c r="O36" t="str">
        <f t="shared" si="3"/>
        <v>J1</v>
      </c>
      <c r="P36">
        <f t="shared" si="7"/>
        <v>68.830086014004493</v>
      </c>
      <c r="Q36">
        <f t="shared" si="8"/>
        <v>73.479913985995481</v>
      </c>
      <c r="R36" s="12" t="str">
        <f t="shared" si="9"/>
        <v>Continuer</v>
      </c>
    </row>
    <row r="37" spans="1:19" x14ac:dyDescent="0.3">
      <c r="A37" s="13"/>
      <c r="B37" s="13"/>
      <c r="C37" s="13"/>
      <c r="D37" s="13"/>
      <c r="E37" s="13"/>
      <c r="F37" s="13"/>
      <c r="G37" s="4">
        <f t="shared" si="0"/>
        <v>34</v>
      </c>
      <c r="H37">
        <v>23.499295139141701</v>
      </c>
      <c r="I37">
        <f t="shared" si="4"/>
        <v>37.510020068485765</v>
      </c>
      <c r="J37">
        <v>35.076088574988297</v>
      </c>
      <c r="K37">
        <f t="shared" si="5"/>
        <v>25.959190900427114</v>
      </c>
      <c r="L37">
        <f t="shared" si="1"/>
        <v>63.185068237197449</v>
      </c>
      <c r="M37">
        <f t="shared" si="2"/>
        <v>61.819616150367679</v>
      </c>
      <c r="N37">
        <f t="shared" si="6"/>
        <v>1.3654520868297695</v>
      </c>
      <c r="O37" t="str">
        <f t="shared" si="3"/>
        <v>J1</v>
      </c>
      <c r="P37">
        <f t="shared" si="7"/>
        <v>69.103176431370443</v>
      </c>
      <c r="Q37">
        <f t="shared" si="8"/>
        <v>73.206823568629531</v>
      </c>
      <c r="R37" s="12" t="str">
        <f t="shared" si="9"/>
        <v>Continuer</v>
      </c>
    </row>
    <row r="38" spans="1:19" x14ac:dyDescent="0.3">
      <c r="A38" s="13"/>
      <c r="B38" s="13"/>
      <c r="C38" s="13"/>
      <c r="D38" s="13"/>
      <c r="E38" s="13"/>
      <c r="F38" s="13"/>
      <c r="G38" s="4">
        <f t="shared" si="0"/>
        <v>35</v>
      </c>
      <c r="H38">
        <v>91.586003535547306</v>
      </c>
      <c r="I38">
        <f t="shared" si="4"/>
        <v>64.548011802016532</v>
      </c>
      <c r="J38">
        <v>73.874735866889793</v>
      </c>
      <c r="K38">
        <f t="shared" si="5"/>
        <v>49.916963383658455</v>
      </c>
      <c r="L38">
        <f t="shared" si="1"/>
        <v>74.191428222765921</v>
      </c>
      <c r="M38">
        <f t="shared" si="2"/>
        <v>71.211561851504058</v>
      </c>
      <c r="N38">
        <f t="shared" si="6"/>
        <v>2.9798663712618634</v>
      </c>
      <c r="O38" t="str">
        <f t="shared" si="3"/>
        <v>J1</v>
      </c>
      <c r="P38">
        <f t="shared" si="7"/>
        <v>69.699149705622816</v>
      </c>
      <c r="Q38">
        <f t="shared" si="8"/>
        <v>72.610850294377158</v>
      </c>
      <c r="R38" s="12" t="str">
        <f t="shared" si="9"/>
        <v>Continuer</v>
      </c>
    </row>
    <row r="39" spans="1:19" x14ac:dyDescent="0.3">
      <c r="A39" s="13"/>
      <c r="B39" s="13"/>
      <c r="C39" s="13"/>
      <c r="D39" s="13"/>
      <c r="E39" s="13"/>
      <c r="F39" s="13"/>
      <c r="G39" s="4">
        <f t="shared" si="0"/>
        <v>36</v>
      </c>
      <c r="H39">
        <v>52.999105728504396</v>
      </c>
      <c r="I39">
        <f t="shared" si="4"/>
        <v>58.773558765260461</v>
      </c>
      <c r="J39">
        <v>33.595585497972998</v>
      </c>
      <c r="K39">
        <f t="shared" si="5"/>
        <v>41.75627444081573</v>
      </c>
      <c r="L39">
        <f t="shared" si="1"/>
        <v>72.298828300040157</v>
      </c>
      <c r="M39">
        <f t="shared" si="2"/>
        <v>67.530104982390299</v>
      </c>
      <c r="N39">
        <f t="shared" si="6"/>
        <v>4.768723317649858</v>
      </c>
      <c r="O39" t="str">
        <f t="shared" si="3"/>
        <v>J1</v>
      </c>
      <c r="P39">
        <f t="shared" si="7"/>
        <v>70.65289436915279</v>
      </c>
      <c r="Q39">
        <f t="shared" si="8"/>
        <v>71.657105630847184</v>
      </c>
      <c r="R39" s="12" t="str">
        <f t="shared" si="9"/>
        <v>Continuer</v>
      </c>
    </row>
    <row r="40" spans="1:19" x14ac:dyDescent="0.3">
      <c r="A40" s="13"/>
      <c r="B40" s="13"/>
      <c r="C40" s="13"/>
      <c r="D40" s="13"/>
      <c r="E40" s="13"/>
      <c r="F40" s="13"/>
      <c r="G40" s="4">
        <f t="shared" si="0"/>
        <v>37</v>
      </c>
      <c r="H40">
        <v>39.803154270879702</v>
      </c>
      <c r="I40">
        <f t="shared" si="4"/>
        <v>49.288356518070081</v>
      </c>
      <c r="J40">
        <v>16.176350729017798</v>
      </c>
      <c r="K40">
        <f t="shared" si="5"/>
        <v>28.966312584916764</v>
      </c>
      <c r="L40">
        <f t="shared" si="1"/>
        <v>69.172368665634991</v>
      </c>
      <c r="M40">
        <f t="shared" si="2"/>
        <v>61.746498975559732</v>
      </c>
      <c r="N40">
        <f t="shared" si="6"/>
        <v>7.4258696900752597</v>
      </c>
      <c r="O40" t="str">
        <f t="shared" si="3"/>
        <v>J1</v>
      </c>
      <c r="P40">
        <f t="shared" si="7"/>
        <v>72.138068307167842</v>
      </c>
      <c r="Q40">
        <f t="shared" si="8"/>
        <v>70.171931692832132</v>
      </c>
      <c r="R40" s="12" t="str">
        <f t="shared" si="9"/>
        <v>Continuer</v>
      </c>
    </row>
    <row r="41" spans="1:19" x14ac:dyDescent="0.3">
      <c r="A41" s="13"/>
      <c r="B41" s="13"/>
      <c r="C41" s="13"/>
      <c r="D41" s="13"/>
      <c r="E41" s="13"/>
      <c r="F41" s="13"/>
      <c r="G41" s="4">
        <f t="shared" si="0"/>
        <v>38</v>
      </c>
      <c r="H41">
        <v>12.7233940226189</v>
      </c>
      <c r="I41">
        <f t="shared" si="4"/>
        <v>31.00587527034449</v>
      </c>
      <c r="J41">
        <v>44.433293990718397</v>
      </c>
      <c r="K41">
        <f t="shared" si="5"/>
        <v>36.699803287817581</v>
      </c>
      <c r="L41">
        <f t="shared" si="1"/>
        <v>62.898997923155285</v>
      </c>
      <c r="M41">
        <f t="shared" si="2"/>
        <v>63.800273500109519</v>
      </c>
      <c r="N41">
        <f t="shared" si="6"/>
        <v>0.90127557695423377</v>
      </c>
      <c r="O41" t="str">
        <f t="shared" si="3"/>
        <v>J2</v>
      </c>
      <c r="P41">
        <f t="shared" si="7"/>
        <v>71.957813191776992</v>
      </c>
      <c r="Q41">
        <f t="shared" si="8"/>
        <v>70.352186808222982</v>
      </c>
      <c r="R41" s="12" t="str">
        <f t="shared" si="9"/>
        <v>Continuer</v>
      </c>
    </row>
    <row r="42" spans="1:19" x14ac:dyDescent="0.3">
      <c r="A42" s="13"/>
      <c r="B42" s="13"/>
      <c r="C42" s="13"/>
      <c r="D42" s="13"/>
      <c r="E42" s="13"/>
      <c r="F42" s="13"/>
      <c r="G42" s="4">
        <f t="shared" si="0"/>
        <v>39</v>
      </c>
      <c r="H42">
        <v>16.124892188772201</v>
      </c>
      <c r="I42">
        <f t="shared" si="4"/>
        <v>23.565383729558345</v>
      </c>
      <c r="J42">
        <v>40.947773352359903</v>
      </c>
      <c r="K42">
        <f t="shared" si="5"/>
        <v>38.823788320088738</v>
      </c>
      <c r="L42">
        <f t="shared" si="1"/>
        <v>59.796622726067227</v>
      </c>
      <c r="M42">
        <f t="shared" si="2"/>
        <v>64.776046093791578</v>
      </c>
      <c r="N42">
        <f t="shared" si="6"/>
        <v>4.9794233677243511</v>
      </c>
      <c r="O42" t="str">
        <f t="shared" si="3"/>
        <v>J2</v>
      </c>
      <c r="P42">
        <f t="shared" si="7"/>
        <v>70.961928518232128</v>
      </c>
      <c r="Q42">
        <f t="shared" si="8"/>
        <v>71.348071481767846</v>
      </c>
      <c r="R42" s="12" t="str">
        <f t="shared" si="9"/>
        <v>Continuer</v>
      </c>
    </row>
    <row r="43" spans="1:19" x14ac:dyDescent="0.3">
      <c r="A43" s="13"/>
      <c r="B43" s="13"/>
      <c r="C43" s="13"/>
      <c r="D43" s="13"/>
      <c r="E43" s="13"/>
      <c r="F43" s="13"/>
      <c r="G43" s="4">
        <f t="shared" si="0"/>
        <v>40</v>
      </c>
      <c r="H43">
        <v>9.9192442772118898</v>
      </c>
      <c r="I43">
        <f t="shared" si="4"/>
        <v>16.742314003385118</v>
      </c>
      <c r="J43">
        <v>11.1279695137743</v>
      </c>
      <c r="K43">
        <f t="shared" si="5"/>
        <v>24.975878916931521</v>
      </c>
      <c r="L43">
        <f t="shared" si="1"/>
        <v>56.370275564116533</v>
      </c>
      <c r="M43">
        <f t="shared" si="2"/>
        <v>59.934001604010099</v>
      </c>
      <c r="N43">
        <f t="shared" si="6"/>
        <v>3.5637260398935666</v>
      </c>
      <c r="O43" t="str">
        <f t="shared" si="3"/>
        <v>J2</v>
      </c>
      <c r="P43">
        <f t="shared" si="7"/>
        <v>70.249183310253414</v>
      </c>
      <c r="Q43">
        <f t="shared" si="8"/>
        <v>72.060816689746559</v>
      </c>
      <c r="R43" s="12" t="str">
        <f t="shared" si="9"/>
        <v>Continuer</v>
      </c>
      <c r="S43" s="13"/>
    </row>
    <row r="44" spans="1:19" x14ac:dyDescent="0.3">
      <c r="F44" s="13"/>
      <c r="G44" s="4">
        <f t="shared" si="0"/>
        <v>41</v>
      </c>
      <c r="H44">
        <v>16.4951871760411</v>
      </c>
      <c r="I44">
        <f t="shared" si="4"/>
        <v>16.618750589713109</v>
      </c>
      <c r="J44">
        <v>67.461590723360601</v>
      </c>
      <c r="K44">
        <f t="shared" si="5"/>
        <v>46.218734820146061</v>
      </c>
      <c r="L44">
        <f t="shared" si="1"/>
        <v>55.821928553062634</v>
      </c>
      <c r="M44">
        <f t="shared" si="2"/>
        <v>68.930065610881016</v>
      </c>
      <c r="N44">
        <f t="shared" si="6"/>
        <v>13.108137057818382</v>
      </c>
      <c r="O44" t="str">
        <f t="shared" si="3"/>
        <v>J2</v>
      </c>
      <c r="P44">
        <f t="shared" si="7"/>
        <v>67.627555898689735</v>
      </c>
      <c r="Q44">
        <f t="shared" si="8"/>
        <v>74.682444101310239</v>
      </c>
      <c r="R44" s="12" t="str">
        <f t="shared" si="9"/>
        <v>Continuer</v>
      </c>
    </row>
    <row r="45" spans="1:19" x14ac:dyDescent="0.3">
      <c r="F45" s="13"/>
      <c r="G45" s="4">
        <f t="shared" si="0"/>
        <v>42</v>
      </c>
      <c r="H45">
        <v>40.055310113579601</v>
      </c>
      <c r="I45">
        <f t="shared" si="4"/>
        <v>28.337030351646355</v>
      </c>
      <c r="J45">
        <v>0.34561552728531098</v>
      </c>
      <c r="K45">
        <f t="shared" si="5"/>
        <v>23.282175173715686</v>
      </c>
      <c r="L45">
        <f t="shared" si="1"/>
        <v>58.674101269741357</v>
      </c>
      <c r="M45">
        <f t="shared" si="2"/>
        <v>61.590580940403434</v>
      </c>
      <c r="N45">
        <f t="shared" si="6"/>
        <v>2.9164796706620777</v>
      </c>
      <c r="O45" t="str">
        <f t="shared" si="3"/>
        <v>J2</v>
      </c>
      <c r="P45">
        <f t="shared" si="7"/>
        <v>67.044259964557313</v>
      </c>
      <c r="Q45">
        <f t="shared" si="8"/>
        <v>75.265740035442661</v>
      </c>
      <c r="R45" s="12" t="str">
        <f t="shared" si="9"/>
        <v>Continuer</v>
      </c>
    </row>
    <row r="46" spans="1:19" x14ac:dyDescent="0.3">
      <c r="F46" s="13"/>
      <c r="G46" s="4">
        <f t="shared" si="0"/>
        <v>43</v>
      </c>
      <c r="H46">
        <v>44.662958876409398</v>
      </c>
      <c r="I46">
        <f t="shared" si="4"/>
        <v>36.499994614027877</v>
      </c>
      <c r="J46">
        <v>29.451140854620402</v>
      </c>
      <c r="K46">
        <f t="shared" si="5"/>
        <v>26.366658014168046</v>
      </c>
      <c r="L46">
        <f t="shared" si="1"/>
        <v>61.530979820801264</v>
      </c>
      <c r="M46">
        <f t="shared" si="2"/>
        <v>63.232681230477084</v>
      </c>
      <c r="N46">
        <f t="shared" si="6"/>
        <v>1.7017014096758203</v>
      </c>
      <c r="O46" t="str">
        <f t="shared" si="3"/>
        <v>J2</v>
      </c>
      <c r="P46">
        <f t="shared" si="7"/>
        <v>66.703919682622143</v>
      </c>
      <c r="Q46">
        <f t="shared" si="8"/>
        <v>75.606080317377831</v>
      </c>
      <c r="R46" s="12" t="str">
        <f t="shared" si="9"/>
        <v>Continuer</v>
      </c>
    </row>
    <row r="47" spans="1:19" x14ac:dyDescent="0.3">
      <c r="F47" s="13"/>
      <c r="G47" s="4">
        <f t="shared" si="0"/>
        <v>44</v>
      </c>
      <c r="H47">
        <v>46.365913015245503</v>
      </c>
      <c r="I47">
        <f t="shared" si="4"/>
        <v>41.43295381463669</v>
      </c>
      <c r="J47">
        <v>3.6342261325638598</v>
      </c>
      <c r="K47">
        <f t="shared" si="5"/>
        <v>15.000442073365953</v>
      </c>
      <c r="L47">
        <f t="shared" si="1"/>
        <v>63.265925303690167</v>
      </c>
      <c r="M47">
        <f t="shared" si="2"/>
        <v>58.92443305151086</v>
      </c>
      <c r="N47">
        <f t="shared" si="6"/>
        <v>4.3414922521793073</v>
      </c>
      <c r="O47" t="str">
        <f t="shared" si="3"/>
        <v>J1</v>
      </c>
      <c r="P47">
        <f t="shared" si="7"/>
        <v>67.572218133058001</v>
      </c>
      <c r="Q47">
        <f t="shared" si="8"/>
        <v>74.737781866941972</v>
      </c>
      <c r="R47" s="12" t="str">
        <f t="shared" si="9"/>
        <v>Continuer</v>
      </c>
    </row>
    <row r="48" spans="1:19" x14ac:dyDescent="0.3">
      <c r="F48" s="13"/>
      <c r="G48" s="4">
        <f t="shared" si="0"/>
        <v>45</v>
      </c>
      <c r="H48">
        <v>96.624120256497605</v>
      </c>
      <c r="I48">
        <f t="shared" si="4"/>
        <v>69.028537035567155</v>
      </c>
      <c r="J48">
        <v>6.6099684837770996</v>
      </c>
      <c r="K48">
        <f t="shared" si="5"/>
        <v>10.805205278571526</v>
      </c>
      <c r="L48">
        <f t="shared" si="1"/>
        <v>74.91196750736745</v>
      </c>
      <c r="M48">
        <f t="shared" si="2"/>
        <v>56.638529418287987</v>
      </c>
      <c r="N48">
        <f t="shared" si="6"/>
        <v>18.273438089079463</v>
      </c>
      <c r="O48" t="str">
        <f t="shared" si="3"/>
        <v>J1</v>
      </c>
      <c r="P48">
        <f t="shared" si="7"/>
        <v>71.226905750873897</v>
      </c>
      <c r="Q48">
        <f t="shared" si="8"/>
        <v>71.083094249126077</v>
      </c>
      <c r="R48" s="12" t="str">
        <f t="shared" si="9"/>
        <v>Continuer</v>
      </c>
    </row>
    <row r="49" spans="6:18" x14ac:dyDescent="0.3">
      <c r="F49" s="13"/>
      <c r="G49" s="4">
        <f t="shared" si="0"/>
        <v>46</v>
      </c>
      <c r="H49">
        <v>76.491036802195396</v>
      </c>
      <c r="I49">
        <f t="shared" si="4"/>
        <v>72.759786918881275</v>
      </c>
      <c r="J49">
        <v>80.334249113842006</v>
      </c>
      <c r="K49">
        <f t="shared" si="5"/>
        <v>45.569727196206763</v>
      </c>
      <c r="L49">
        <f t="shared" si="1"/>
        <v>78.962748793164238</v>
      </c>
      <c r="M49">
        <f t="shared" si="2"/>
        <v>67.986056852870959</v>
      </c>
      <c r="N49">
        <f t="shared" si="6"/>
        <v>10.976691940293279</v>
      </c>
      <c r="O49" t="str">
        <f t="shared" si="3"/>
        <v>J1</v>
      </c>
      <c r="P49">
        <f t="shared" si="7"/>
        <v>73.422244138932555</v>
      </c>
      <c r="Q49">
        <f t="shared" si="8"/>
        <v>68.887755861067419</v>
      </c>
      <c r="R49" s="12" t="str">
        <f t="shared" si="9"/>
        <v>Continuer</v>
      </c>
    </row>
    <row r="50" spans="6:18" x14ac:dyDescent="0.3">
      <c r="F50" s="13"/>
      <c r="G50" s="4">
        <f t="shared" si="0"/>
        <v>47</v>
      </c>
      <c r="H50">
        <v>32.828842713773199</v>
      </c>
      <c r="I50">
        <f t="shared" si="4"/>
        <v>52.794314816327237</v>
      </c>
      <c r="J50">
        <v>64.569909344596596</v>
      </c>
      <c r="K50">
        <f t="shared" si="5"/>
        <v>55.069818270401683</v>
      </c>
      <c r="L50">
        <f t="shared" si="1"/>
        <v>72.513296823783691</v>
      </c>
      <c r="M50">
        <f t="shared" si="2"/>
        <v>70.249356410907865</v>
      </c>
      <c r="N50">
        <f t="shared" si="6"/>
        <v>2.2639404128758258</v>
      </c>
      <c r="O50" t="str">
        <f t="shared" si="3"/>
        <v>J1</v>
      </c>
      <c r="P50">
        <f t="shared" si="7"/>
        <v>73.875032221507723</v>
      </c>
      <c r="Q50">
        <f t="shared" si="8"/>
        <v>68.434967778492251</v>
      </c>
      <c r="R50" s="12" t="str">
        <f t="shared" si="9"/>
        <v>Continuer</v>
      </c>
    </row>
    <row r="51" spans="6:18" x14ac:dyDescent="0.3">
      <c r="F51" s="13"/>
      <c r="G51" s="4">
        <f t="shared" si="0"/>
        <v>48</v>
      </c>
      <c r="H51">
        <v>8.2719127778469996</v>
      </c>
      <c r="I51">
        <f t="shared" si="4"/>
        <v>30.533113797087118</v>
      </c>
      <c r="J51">
        <v>26.869962115504102</v>
      </c>
      <c r="K51">
        <f t="shared" si="5"/>
        <v>40.969890192952889</v>
      </c>
      <c r="L51">
        <f t="shared" si="1"/>
        <v>63.925768073890247</v>
      </c>
      <c r="M51">
        <f t="shared" si="2"/>
        <v>64.292433522125734</v>
      </c>
      <c r="N51">
        <f t="shared" si="6"/>
        <v>0.36666544823548719</v>
      </c>
      <c r="O51" t="str">
        <f t="shared" si="3"/>
        <v>J2</v>
      </c>
      <c r="P51">
        <f t="shared" si="7"/>
        <v>73.80169913186063</v>
      </c>
      <c r="Q51">
        <f t="shared" si="8"/>
        <v>68.508300868139344</v>
      </c>
      <c r="R51" s="12" t="str">
        <f t="shared" si="9"/>
        <v>Continuer</v>
      </c>
    </row>
    <row r="52" spans="6:18" x14ac:dyDescent="0.3">
      <c r="F52" s="13"/>
      <c r="G52" s="4">
        <f t="shared" si="0"/>
        <v>49</v>
      </c>
      <c r="H52">
        <v>64.961827340210405</v>
      </c>
      <c r="I52">
        <f t="shared" si="4"/>
        <v>47.747470568648765</v>
      </c>
      <c r="J52">
        <v>93.020434767051697</v>
      </c>
      <c r="K52">
        <f t="shared" si="5"/>
        <v>66.995162480002293</v>
      </c>
      <c r="L52">
        <f t="shared" si="1"/>
        <v>70.760177619761947</v>
      </c>
      <c r="M52">
        <f t="shared" si="2"/>
        <v>74.753875599698461</v>
      </c>
      <c r="N52">
        <f t="shared" si="6"/>
        <v>3.9936979799365133</v>
      </c>
      <c r="O52" t="str">
        <f t="shared" si="3"/>
        <v>J2</v>
      </c>
      <c r="P52">
        <f t="shared" si="7"/>
        <v>73.00295953587333</v>
      </c>
      <c r="Q52">
        <f t="shared" si="8"/>
        <v>69.307040464126644</v>
      </c>
      <c r="R52" s="12" t="str">
        <f t="shared" si="9"/>
        <v>Continuer</v>
      </c>
    </row>
    <row r="53" spans="6:18" x14ac:dyDescent="0.3">
      <c r="F53" s="13"/>
      <c r="G53" s="4">
        <f t="shared" si="0"/>
        <v>50</v>
      </c>
      <c r="H53">
        <v>36.417624821255004</v>
      </c>
      <c r="I53">
        <f t="shared" si="4"/>
        <v>42.082547694951884</v>
      </c>
      <c r="J53">
        <v>8.0505061437219201</v>
      </c>
      <c r="K53">
        <f t="shared" si="5"/>
        <v>37.522834311862105</v>
      </c>
      <c r="L53">
        <f t="shared" si="1"/>
        <v>67.935090753092084</v>
      </c>
      <c r="M53">
        <f t="shared" si="2"/>
        <v>63.524062049633493</v>
      </c>
      <c r="N53">
        <f t="shared" si="6"/>
        <v>4.4110287034585909</v>
      </c>
      <c r="O53" t="str">
        <f t="shared" si="3"/>
        <v>J1</v>
      </c>
      <c r="P53">
        <f t="shared" si="7"/>
        <v>73.885165276565047</v>
      </c>
      <c r="Q53">
        <f t="shared" si="8"/>
        <v>68.424834723434927</v>
      </c>
      <c r="R53" s="12" t="str">
        <f t="shared" si="9"/>
        <v>Continuer</v>
      </c>
    </row>
    <row r="54" spans="6:18" x14ac:dyDescent="0.3">
      <c r="F54" s="13"/>
      <c r="G54" s="4">
        <f t="shared" si="0"/>
        <v>51</v>
      </c>
      <c r="H54">
        <v>33.425411514190301</v>
      </c>
      <c r="I54">
        <f t="shared" si="4"/>
        <v>37.753979604571093</v>
      </c>
      <c r="J54">
        <v>77.4753825121728</v>
      </c>
      <c r="K54">
        <f t="shared" si="5"/>
        <v>57.499108412017449</v>
      </c>
      <c r="L54">
        <f t="shared" si="1"/>
        <v>66.821207535423966</v>
      </c>
      <c r="M54">
        <f t="shared" si="2"/>
        <v>70.897027671211433</v>
      </c>
      <c r="N54">
        <f t="shared" si="6"/>
        <v>4.0758201357874668</v>
      </c>
      <c r="O54" t="str">
        <f t="shared" si="3"/>
        <v>J2</v>
      </c>
      <c r="P54">
        <f t="shared" si="7"/>
        <v>73.070001249407554</v>
      </c>
      <c r="Q54">
        <f t="shared" si="8"/>
        <v>69.23999875059242</v>
      </c>
      <c r="R54" s="12" t="str">
        <f t="shared" si="9"/>
        <v>Continuer</v>
      </c>
    </row>
    <row r="55" spans="6:18" x14ac:dyDescent="0.3">
      <c r="F55" s="13"/>
      <c r="G55" s="4">
        <f t="shared" si="0"/>
        <v>52</v>
      </c>
      <c r="H55">
        <v>89.694047947370393</v>
      </c>
      <c r="I55">
        <f t="shared" si="4"/>
        <v>63.724013775970747</v>
      </c>
      <c r="J55">
        <v>62.109495204109997</v>
      </c>
      <c r="K55">
        <f t="shared" si="5"/>
        <v>59.804301808063727</v>
      </c>
      <c r="L55">
        <f t="shared" si="1"/>
        <v>76.638606384973585</v>
      </c>
      <c r="M55">
        <f t="shared" si="2"/>
        <v>72.389719848640183</v>
      </c>
      <c r="N55">
        <f t="shared" si="6"/>
        <v>4.2488865363334014</v>
      </c>
      <c r="O55" t="str">
        <f t="shared" si="3"/>
        <v>J1</v>
      </c>
      <c r="P55">
        <f t="shared" si="7"/>
        <v>73.919778556674231</v>
      </c>
      <c r="Q55">
        <f t="shared" si="8"/>
        <v>68.390221443325743</v>
      </c>
      <c r="R55" s="12" t="str">
        <f t="shared" si="9"/>
        <v>Continuer</v>
      </c>
    </row>
    <row r="56" spans="6:18" x14ac:dyDescent="0.3">
      <c r="F56" s="13"/>
      <c r="G56" s="4">
        <f t="shared" si="0"/>
        <v>53</v>
      </c>
      <c r="H56">
        <v>57.898753112445497</v>
      </c>
      <c r="I56">
        <f t="shared" si="4"/>
        <v>60.811383444208118</v>
      </c>
      <c r="J56">
        <v>45.104785159012202</v>
      </c>
      <c r="K56">
        <f t="shared" si="5"/>
        <v>52.454543483537961</v>
      </c>
      <c r="L56">
        <f t="shared" si="1"/>
        <v>76.068398367355201</v>
      </c>
      <c r="M56">
        <f t="shared" si="2"/>
        <v>68.854972403743204</v>
      </c>
      <c r="N56">
        <f t="shared" si="6"/>
        <v>7.2134259636119964</v>
      </c>
      <c r="O56" t="str">
        <f t="shared" si="3"/>
        <v>J1</v>
      </c>
      <c r="P56">
        <f t="shared" si="7"/>
        <v>75.362463749396625</v>
      </c>
      <c r="Q56">
        <f t="shared" si="8"/>
        <v>66.947536250603349</v>
      </c>
      <c r="R56" s="12" t="str">
        <f t="shared" si="9"/>
        <v>Continuer</v>
      </c>
    </row>
    <row r="57" spans="6:18" x14ac:dyDescent="0.3">
      <c r="F57" s="13"/>
      <c r="G57" s="4">
        <f t="shared" si="0"/>
        <v>54</v>
      </c>
      <c r="H57">
        <v>67.899610726476894</v>
      </c>
      <c r="I57">
        <f t="shared" si="4"/>
        <v>64.355497085342506</v>
      </c>
      <c r="J57">
        <v>58.178185561716703</v>
      </c>
      <c r="K57">
        <f t="shared" si="5"/>
        <v>55.316364522627332</v>
      </c>
      <c r="L57">
        <f t="shared" si="1"/>
        <v>78.495923458714643</v>
      </c>
      <c r="M57">
        <f t="shared" si="2"/>
        <v>68.989821184473271</v>
      </c>
      <c r="N57">
        <f t="shared" si="6"/>
        <v>9.5061022742413712</v>
      </c>
      <c r="O57" t="str">
        <f t="shared" si="3"/>
        <v>J1</v>
      </c>
      <c r="P57">
        <f t="shared" si="7"/>
        <v>77.263684204244896</v>
      </c>
      <c r="Q57">
        <f t="shared" si="8"/>
        <v>65.046315795755078</v>
      </c>
      <c r="R57" s="12" t="str">
        <f t="shared" si="9"/>
        <v>Continuer</v>
      </c>
    </row>
    <row r="58" spans="6:18" x14ac:dyDescent="0.3">
      <c r="F58" s="13"/>
      <c r="G58" s="4">
        <f t="shared" si="0"/>
        <v>55</v>
      </c>
      <c r="H58">
        <v>28.3580101992256</v>
      </c>
      <c r="I58">
        <f t="shared" si="4"/>
        <v>46.356753642284055</v>
      </c>
      <c r="J58">
        <v>64.405529136145205</v>
      </c>
      <c r="K58">
        <f t="shared" si="5"/>
        <v>59.860946829386265</v>
      </c>
      <c r="L58">
        <f t="shared" si="1"/>
        <v>72.627280399885052</v>
      </c>
      <c r="M58">
        <f t="shared" si="2"/>
        <v>69.476799788783055</v>
      </c>
      <c r="N58">
        <f t="shared" si="6"/>
        <v>3.1504806111019974</v>
      </c>
      <c r="O58" t="str">
        <f t="shared" si="3"/>
        <v>J1</v>
      </c>
      <c r="P58">
        <f t="shared" si="7"/>
        <v>77.89378032646529</v>
      </c>
      <c r="Q58">
        <f t="shared" si="8"/>
        <v>64.416219673534684</v>
      </c>
      <c r="R58" s="12" t="str">
        <f t="shared" si="9"/>
        <v>Continuer</v>
      </c>
    </row>
    <row r="59" spans="6:18" x14ac:dyDescent="0.3">
      <c r="F59" s="13"/>
      <c r="G59" s="4">
        <f t="shared" si="0"/>
        <v>56</v>
      </c>
      <c r="H59">
        <v>-10.664242469621501</v>
      </c>
      <c r="I59">
        <f t="shared" si="4"/>
        <v>17.846255586331278</v>
      </c>
      <c r="J59">
        <v>86.539649745355803</v>
      </c>
      <c r="K59">
        <f t="shared" si="5"/>
        <v>73.200298287371027</v>
      </c>
      <c r="L59">
        <f t="shared" si="1"/>
        <v>61.664148463058211</v>
      </c>
      <c r="M59">
        <f t="shared" si="2"/>
        <v>74.371473086422682</v>
      </c>
      <c r="N59">
        <f t="shared" si="6"/>
        <v>12.707324623364471</v>
      </c>
      <c r="O59" t="str">
        <f t="shared" si="3"/>
        <v>J2</v>
      </c>
      <c r="P59">
        <f t="shared" si="7"/>
        <v>75.352315401792396</v>
      </c>
      <c r="Q59">
        <f t="shared" si="8"/>
        <v>66.957684598207578</v>
      </c>
      <c r="R59" s="12" t="str">
        <f t="shared" si="9"/>
        <v>Continuer</v>
      </c>
    </row>
    <row r="60" spans="6:18" x14ac:dyDescent="0.3">
      <c r="F60" s="13"/>
      <c r="G60" s="4">
        <f t="shared" si="0"/>
        <v>57</v>
      </c>
      <c r="H60">
        <v>28.007598931406399</v>
      </c>
      <c r="I60">
        <f t="shared" si="4"/>
        <v>22.926927258868837</v>
      </c>
      <c r="J60">
        <v>56.700462043424601</v>
      </c>
      <c r="K60">
        <f t="shared" si="5"/>
        <v>64.950380165397817</v>
      </c>
      <c r="L60">
        <f t="shared" si="1"/>
        <v>61.917391684802212</v>
      </c>
      <c r="M60">
        <f t="shared" si="2"/>
        <v>72.850531284904434</v>
      </c>
      <c r="N60">
        <f t="shared" si="6"/>
        <v>10.933139600102223</v>
      </c>
      <c r="O60" t="str">
        <f t="shared" si="3"/>
        <v>J2</v>
      </c>
      <c r="P60">
        <f t="shared" si="7"/>
        <v>73.165687481771954</v>
      </c>
      <c r="Q60">
        <f t="shared" si="8"/>
        <v>69.14431251822802</v>
      </c>
      <c r="R60" s="12" t="str">
        <f t="shared" si="9"/>
        <v>Continuer</v>
      </c>
    </row>
    <row r="61" spans="6:18" x14ac:dyDescent="0.3">
      <c r="F61" s="13"/>
      <c r="G61" s="4">
        <f t="shared" si="0"/>
        <v>58</v>
      </c>
      <c r="H61">
        <v>39.896578157155801</v>
      </c>
      <c r="I61">
        <f t="shared" si="4"/>
        <v>31.411752708012319</v>
      </c>
      <c r="J61">
        <v>26.632570298424898</v>
      </c>
      <c r="K61">
        <f t="shared" si="5"/>
        <v>45.791475231911356</v>
      </c>
      <c r="L61">
        <f t="shared" si="1"/>
        <v>63.780682320445294</v>
      </c>
      <c r="M61">
        <f t="shared" si="2"/>
        <v>66.717608855524162</v>
      </c>
      <c r="N61">
        <f t="shared" si="6"/>
        <v>2.936926535078868</v>
      </c>
      <c r="O61" t="str">
        <f t="shared" si="3"/>
        <v>J2</v>
      </c>
      <c r="P61">
        <f t="shared" si="7"/>
        <v>72.578302174756175</v>
      </c>
      <c r="Q61">
        <f t="shared" si="8"/>
        <v>69.731697825243799</v>
      </c>
      <c r="R61" s="12" t="str">
        <f t="shared" si="9"/>
        <v>Continuer</v>
      </c>
    </row>
    <row r="62" spans="6:18" x14ac:dyDescent="0.3">
      <c r="F62" s="13"/>
      <c r="G62" s="4">
        <f t="shared" si="0"/>
        <v>59</v>
      </c>
      <c r="H62">
        <v>57.064821613596003</v>
      </c>
      <c r="I62">
        <f t="shared" si="4"/>
        <v>44.238287160804163</v>
      </c>
      <c r="J62">
        <v>41.474075677704398</v>
      </c>
      <c r="K62">
        <f t="shared" si="5"/>
        <v>43.632775454807877</v>
      </c>
      <c r="L62">
        <f t="shared" si="1"/>
        <v>68.500126386650976</v>
      </c>
      <c r="M62">
        <f t="shared" si="2"/>
        <v>66.26529865959381</v>
      </c>
      <c r="N62">
        <f t="shared" si="6"/>
        <v>2.2348277270571657</v>
      </c>
      <c r="O62" t="str">
        <f t="shared" si="3"/>
        <v>J1</v>
      </c>
      <c r="P62">
        <f t="shared" si="7"/>
        <v>73.025267720167605</v>
      </c>
      <c r="Q62">
        <f t="shared" si="8"/>
        <v>69.284732279832369</v>
      </c>
      <c r="R62" s="12" t="str">
        <f t="shared" si="9"/>
        <v>Continuer</v>
      </c>
    </row>
    <row r="63" spans="6:18" x14ac:dyDescent="0.3">
      <c r="F63" s="13"/>
      <c r="G63" s="4">
        <f t="shared" si="0"/>
        <v>60</v>
      </c>
      <c r="H63">
        <v>8.5545911504748204</v>
      </c>
      <c r="I63">
        <f t="shared" si="4"/>
        <v>26.396439155639492</v>
      </c>
      <c r="J63">
        <v>17.6212457475451</v>
      </c>
      <c r="K63">
        <f t="shared" si="5"/>
        <v>30.627010601176487</v>
      </c>
      <c r="L63">
        <f t="shared" si="1"/>
        <v>61.676263066373117</v>
      </c>
      <c r="M63">
        <f t="shared" si="2"/>
        <v>60.75011683635325</v>
      </c>
      <c r="N63">
        <f t="shared" si="6"/>
        <v>0.92614623001986729</v>
      </c>
      <c r="O63" t="str">
        <f t="shared" si="3"/>
        <v>J1</v>
      </c>
      <c r="P63">
        <f t="shared" si="7"/>
        <v>73.210496966171576</v>
      </c>
      <c r="Q63">
        <f t="shared" si="8"/>
        <v>69.099503033828398</v>
      </c>
      <c r="R63" s="12" t="str">
        <f t="shared" si="9"/>
        <v>Continuer</v>
      </c>
    </row>
    <row r="64" spans="6:18" x14ac:dyDescent="0.3">
      <c r="F64" s="13"/>
      <c r="G64" s="4">
        <f t="shared" si="0"/>
        <v>61</v>
      </c>
      <c r="H64">
        <v>55.587533020995402</v>
      </c>
      <c r="I64">
        <f t="shared" si="4"/>
        <v>40.991986088317447</v>
      </c>
      <c r="J64">
        <v>63.041482125765199</v>
      </c>
      <c r="K64">
        <f t="shared" si="5"/>
        <v>46.834246363470839</v>
      </c>
      <c r="L64">
        <f t="shared" si="1"/>
        <v>67.644142311647073</v>
      </c>
      <c r="M64">
        <f t="shared" si="2"/>
        <v>67.10335066906822</v>
      </c>
      <c r="N64">
        <f t="shared" si="6"/>
        <v>0.54079164257885282</v>
      </c>
      <c r="O64" t="str">
        <f t="shared" si="3"/>
        <v>J1</v>
      </c>
      <c r="P64">
        <f t="shared" si="7"/>
        <v>73.318655294687346</v>
      </c>
      <c r="Q64">
        <f t="shared" si="8"/>
        <v>68.991344705312628</v>
      </c>
      <c r="R64" s="12" t="str">
        <f t="shared" si="9"/>
        <v>Continuer</v>
      </c>
    </row>
    <row r="65" spans="6:18" x14ac:dyDescent="0.3">
      <c r="F65" s="13"/>
      <c r="G65" s="4">
        <f t="shared" si="0"/>
        <v>62</v>
      </c>
      <c r="H65">
        <v>16.3903761311566</v>
      </c>
      <c r="I65">
        <f t="shared" si="4"/>
        <v>28.691181109737023</v>
      </c>
      <c r="J65">
        <v>15.7080067196946</v>
      </c>
      <c r="K65">
        <f t="shared" si="5"/>
        <v>31.271126541582721</v>
      </c>
      <c r="L65">
        <f t="shared" si="1"/>
        <v>62.799531150175952</v>
      </c>
      <c r="M65">
        <f t="shared" si="2"/>
        <v>60.802391910351929</v>
      </c>
      <c r="N65">
        <f t="shared" si="6"/>
        <v>1.9971392398240226</v>
      </c>
      <c r="O65" t="str">
        <f t="shared" si="3"/>
        <v>J1</v>
      </c>
      <c r="P65">
        <f t="shared" si="7"/>
        <v>73.718083142652148</v>
      </c>
      <c r="Q65">
        <f t="shared" si="8"/>
        <v>68.591916857347826</v>
      </c>
      <c r="R65" s="12" t="str">
        <f t="shared" si="9"/>
        <v>Continuer</v>
      </c>
    </row>
    <row r="66" spans="6:18" x14ac:dyDescent="0.3">
      <c r="F66" s="13"/>
      <c r="G66" s="4">
        <f t="shared" si="0"/>
        <v>63</v>
      </c>
      <c r="H66">
        <v>23.497954420055699</v>
      </c>
      <c r="I66">
        <f t="shared" si="4"/>
        <v>26.094567764896361</v>
      </c>
      <c r="J66">
        <v>42.594638767760301</v>
      </c>
      <c r="K66">
        <f t="shared" si="5"/>
        <v>36.932882654671509</v>
      </c>
      <c r="L66">
        <f t="shared" si="1"/>
        <v>62.040485305815047</v>
      </c>
      <c r="M66">
        <f t="shared" si="2"/>
        <v>62.787494862012082</v>
      </c>
      <c r="N66">
        <f t="shared" si="6"/>
        <v>0.74700955619703535</v>
      </c>
      <c r="O66" t="str">
        <f t="shared" si="3"/>
        <v>J2</v>
      </c>
      <c r="P66">
        <f t="shared" si="7"/>
        <v>73.568681231412739</v>
      </c>
      <c r="Q66">
        <f t="shared" si="8"/>
        <v>68.741318768587234</v>
      </c>
      <c r="R66" s="12" t="str">
        <f t="shared" si="9"/>
        <v>Continuer</v>
      </c>
    </row>
    <row r="67" spans="6:18" x14ac:dyDescent="0.3">
      <c r="F67" s="13"/>
      <c r="G67" s="4">
        <f t="shared" si="0"/>
        <v>64</v>
      </c>
      <c r="H67">
        <v>30.064867443757699</v>
      </c>
      <c r="I67">
        <f t="shared" si="4"/>
        <v>28.07971760432703</v>
      </c>
      <c r="J67">
        <v>35.288380680506897</v>
      </c>
      <c r="K67">
        <f t="shared" si="5"/>
        <v>36.110631667589203</v>
      </c>
      <c r="L67">
        <f t="shared" si="1"/>
        <v>62.729963903719728</v>
      </c>
      <c r="M67">
        <f t="shared" si="2"/>
        <v>62.563175805046747</v>
      </c>
      <c r="N67">
        <f t="shared" si="6"/>
        <v>0.16678809867298128</v>
      </c>
      <c r="O67" t="str">
        <f t="shared" si="3"/>
        <v>J1</v>
      </c>
      <c r="P67">
        <f t="shared" si="7"/>
        <v>73.602038851147341</v>
      </c>
      <c r="Q67">
        <f t="shared" si="8"/>
        <v>68.707961148852633</v>
      </c>
      <c r="R67" s="12" t="str">
        <f t="shared" si="9"/>
        <v>Continuer</v>
      </c>
    </row>
    <row r="68" spans="6:18" x14ac:dyDescent="0.3">
      <c r="F68" s="13"/>
      <c r="G68" s="4">
        <f t="shared" si="0"/>
        <v>65</v>
      </c>
      <c r="H68">
        <v>27.802677954370001</v>
      </c>
      <c r="I68">
        <f t="shared" si="4"/>
        <v>27.941197779348514</v>
      </c>
      <c r="J68">
        <v>32.175152073112599</v>
      </c>
      <c r="K68">
        <f t="shared" si="5"/>
        <v>34.142891870350901</v>
      </c>
      <c r="L68">
        <f t="shared" si="1"/>
        <v>62.697906307542539</v>
      </c>
      <c r="M68">
        <f t="shared" si="2"/>
        <v>61.7527295523372</v>
      </c>
      <c r="N68">
        <f t="shared" si="6"/>
        <v>0.94517675520533828</v>
      </c>
      <c r="O68" t="str">
        <f t="shared" si="3"/>
        <v>J1</v>
      </c>
      <c r="P68">
        <f t="shared" si="7"/>
        <v>73.791074202188412</v>
      </c>
      <c r="Q68">
        <f t="shared" si="8"/>
        <v>68.518925797811562</v>
      </c>
      <c r="R68" s="12" t="str">
        <f t="shared" si="9"/>
        <v>Continuer</v>
      </c>
    </row>
    <row r="69" spans="6:18" x14ac:dyDescent="0.3">
      <c r="F69" s="13"/>
      <c r="G69" s="4">
        <f t="shared" ref="G69:G95" si="10">IF(R68 = "Continuer", G68+1, "")</f>
        <v>66</v>
      </c>
      <c r="H69">
        <v>27.888131824575801</v>
      </c>
      <c r="I69">
        <f t="shared" si="4"/>
        <v>27.914664801962157</v>
      </c>
      <c r="J69">
        <v>43.1960378375461</v>
      </c>
      <c r="K69">
        <f t="shared" si="5"/>
        <v>38.669464853948497</v>
      </c>
      <c r="L69">
        <f t="shared" ref="L69:L95" si="11">IF(R68 = "Continuer", (P68 * 0.7) + (I69 * 0.4), "")</f>
        <v>62.819617862316747</v>
      </c>
      <c r="M69">
        <f t="shared" ref="M69:M95" si="12">IF(R68 = "Continuer", (Q68 * 0.7) + (K69 * 0.4), "")</f>
        <v>63.431034000047489</v>
      </c>
      <c r="N69">
        <f t="shared" si="6"/>
        <v>0.61141613773074255</v>
      </c>
      <c r="O69" t="str">
        <f t="shared" ref="O69:O95" si="13">IF(R68 = "Continuer", IF(L69&gt;M69, "J1", "J2"), "")</f>
        <v>J2</v>
      </c>
      <c r="P69">
        <f t="shared" si="7"/>
        <v>73.668790974642263</v>
      </c>
      <c r="Q69">
        <f t="shared" si="8"/>
        <v>68.641209025357711</v>
      </c>
      <c r="R69" s="12" t="str">
        <f t="shared" si="9"/>
        <v>Continuer</v>
      </c>
    </row>
    <row r="70" spans="6:18" x14ac:dyDescent="0.3">
      <c r="F70" s="13"/>
      <c r="G70" s="4">
        <f t="shared" si="10"/>
        <v>67</v>
      </c>
      <c r="H70">
        <v>46.905673054010798</v>
      </c>
      <c r="I70">
        <f t="shared" ref="I70:I95" si="14">IF(R69 = "Continuer", AVERAGE(H70,I69), "")</f>
        <v>37.410168927986476</v>
      </c>
      <c r="J70">
        <v>39.083266381035301</v>
      </c>
      <c r="K70">
        <f t="shared" ref="K70:K95" si="15">IF(R69 = "Continuer", AVERAGE(J70,K69), "")</f>
        <v>38.876365617491899</v>
      </c>
      <c r="L70">
        <f t="shared" si="11"/>
        <v>66.532221253444163</v>
      </c>
      <c r="M70">
        <f t="shared" si="12"/>
        <v>63.599392564747156</v>
      </c>
      <c r="N70">
        <f t="shared" ref="N70:N95" si="16">IF(R69 = "Continuer", ABS(L70-M70), "")</f>
        <v>2.9328286886970076</v>
      </c>
      <c r="O70" t="str">
        <f t="shared" si="13"/>
        <v>J1</v>
      </c>
      <c r="P70">
        <f t="shared" ref="P70:P95" si="17">IF(R69 = "Continuer", IF(L70&gt;M70, P69 + ABS(L70-M70)*0.2, P69 - ABS(L70-M70)*0.2), "")</f>
        <v>74.255356712381669</v>
      </c>
      <c r="Q70">
        <f t="shared" ref="Q70:Q95" si="18">IF(R69 = "Continuer", IF(L70&lt;M70, Q69 + ABS(L70-M70)*0.2, Q69 - ABS(L70-M70)*0.2), "")</f>
        <v>68.054643287618305</v>
      </c>
      <c r="R70" s="12" t="str">
        <f t="shared" ref="R70:R95" si="19">IF(R69 = "Continuer", IF(OR(P70&lt;=0, Q70&lt;=0), "Arret", "Continuer"), "")</f>
        <v>Continuer</v>
      </c>
    </row>
    <row r="71" spans="6:18" x14ac:dyDescent="0.3">
      <c r="F71" s="13"/>
      <c r="G71" s="4">
        <f t="shared" si="10"/>
        <v>68</v>
      </c>
      <c r="H71">
        <v>-8.5834127816004102</v>
      </c>
      <c r="I71">
        <f t="shared" si="14"/>
        <v>14.413378073193034</v>
      </c>
      <c r="J71">
        <v>45.289041648994299</v>
      </c>
      <c r="K71">
        <f t="shared" si="15"/>
        <v>42.082703633243099</v>
      </c>
      <c r="L71">
        <f t="shared" si="11"/>
        <v>57.74410092794438</v>
      </c>
      <c r="M71">
        <f t="shared" si="12"/>
        <v>64.471331754630057</v>
      </c>
      <c r="N71">
        <f t="shared" si="16"/>
        <v>6.7272308266856768</v>
      </c>
      <c r="O71" t="str">
        <f t="shared" si="13"/>
        <v>J2</v>
      </c>
      <c r="P71">
        <f t="shared" si="17"/>
        <v>72.909910547044532</v>
      </c>
      <c r="Q71">
        <f t="shared" si="18"/>
        <v>69.400089452955442</v>
      </c>
      <c r="R71" s="12" t="str">
        <f t="shared" si="19"/>
        <v>Continuer</v>
      </c>
    </row>
    <row r="72" spans="6:18" x14ac:dyDescent="0.3">
      <c r="F72" s="13"/>
      <c r="G72" s="4">
        <f t="shared" si="10"/>
        <v>69</v>
      </c>
      <c r="H72">
        <v>1.9712705668717101</v>
      </c>
      <c r="I72">
        <f t="shared" si="14"/>
        <v>8.1923243200323714</v>
      </c>
      <c r="J72">
        <v>50.3847115202392</v>
      </c>
      <c r="K72">
        <f t="shared" si="15"/>
        <v>46.233707576741153</v>
      </c>
      <c r="L72">
        <f t="shared" si="11"/>
        <v>54.313867110944116</v>
      </c>
      <c r="M72">
        <f t="shared" si="12"/>
        <v>67.073545647765272</v>
      </c>
      <c r="N72">
        <f t="shared" si="16"/>
        <v>12.759678536821156</v>
      </c>
      <c r="O72" t="str">
        <f t="shared" si="13"/>
        <v>J2</v>
      </c>
      <c r="P72">
        <f t="shared" si="17"/>
        <v>70.357974839680296</v>
      </c>
      <c r="Q72">
        <f t="shared" si="18"/>
        <v>71.952025160319678</v>
      </c>
      <c r="R72" s="12" t="str">
        <f t="shared" si="19"/>
        <v>Continuer</v>
      </c>
    </row>
    <row r="73" spans="6:18" x14ac:dyDescent="0.3">
      <c r="F73" s="13"/>
      <c r="G73" s="4">
        <f t="shared" si="10"/>
        <v>70</v>
      </c>
      <c r="H73">
        <v>50.222426112942699</v>
      </c>
      <c r="I73">
        <f t="shared" si="14"/>
        <v>29.207375216487534</v>
      </c>
      <c r="J73">
        <v>12.582964296642601</v>
      </c>
      <c r="K73">
        <f t="shared" si="15"/>
        <v>29.408335936691877</v>
      </c>
      <c r="L73">
        <f t="shared" si="11"/>
        <v>60.933532474371219</v>
      </c>
      <c r="M73">
        <f t="shared" si="12"/>
        <v>62.129751986900523</v>
      </c>
      <c r="N73">
        <f t="shared" si="16"/>
        <v>1.1962195125293036</v>
      </c>
      <c r="O73" t="str">
        <f t="shared" si="13"/>
        <v>J2</v>
      </c>
      <c r="P73">
        <f t="shared" si="17"/>
        <v>70.118730937174433</v>
      </c>
      <c r="Q73">
        <f t="shared" si="18"/>
        <v>72.19126906282554</v>
      </c>
      <c r="R73" s="12" t="str">
        <f t="shared" si="19"/>
        <v>Continuer</v>
      </c>
    </row>
    <row r="74" spans="6:18" x14ac:dyDescent="0.3">
      <c r="F74" s="13"/>
      <c r="G74" s="4">
        <f t="shared" si="10"/>
        <v>71</v>
      </c>
      <c r="H74">
        <v>51.053526534089102</v>
      </c>
      <c r="I74">
        <f t="shared" si="14"/>
        <v>40.130450875288318</v>
      </c>
      <c r="J74">
        <v>23.9122206757838</v>
      </c>
      <c r="K74">
        <f t="shared" si="15"/>
        <v>26.660278306237839</v>
      </c>
      <c r="L74">
        <f t="shared" si="11"/>
        <v>65.135292006137433</v>
      </c>
      <c r="M74">
        <f t="shared" si="12"/>
        <v>61.197999666473017</v>
      </c>
      <c r="N74">
        <f t="shared" si="16"/>
        <v>3.9372923396644168</v>
      </c>
      <c r="O74" t="str">
        <f t="shared" si="13"/>
        <v>J1</v>
      </c>
      <c r="P74">
        <f t="shared" si="17"/>
        <v>70.906189405107312</v>
      </c>
      <c r="Q74">
        <f t="shared" si="18"/>
        <v>71.403810594892661</v>
      </c>
      <c r="R74" s="12" t="str">
        <f t="shared" si="19"/>
        <v>Continuer</v>
      </c>
    </row>
    <row r="75" spans="6:18" x14ac:dyDescent="0.3">
      <c r="F75" s="13"/>
      <c r="G75" s="4">
        <f t="shared" si="10"/>
        <v>72</v>
      </c>
      <c r="H75">
        <v>32.7538986340249</v>
      </c>
      <c r="I75">
        <f t="shared" si="14"/>
        <v>36.442174754656605</v>
      </c>
      <c r="J75">
        <v>57.173356244942298</v>
      </c>
      <c r="K75">
        <f t="shared" si="15"/>
        <v>41.91681727559007</v>
      </c>
      <c r="L75">
        <f t="shared" si="11"/>
        <v>64.211202485437752</v>
      </c>
      <c r="M75">
        <f t="shared" si="12"/>
        <v>66.749394326660891</v>
      </c>
      <c r="N75">
        <f t="shared" si="16"/>
        <v>2.5381918412231386</v>
      </c>
      <c r="O75" t="str">
        <f t="shared" si="13"/>
        <v>J2</v>
      </c>
      <c r="P75">
        <f t="shared" si="17"/>
        <v>70.398551036862685</v>
      </c>
      <c r="Q75">
        <f t="shared" si="18"/>
        <v>71.911448963137289</v>
      </c>
      <c r="R75" s="12" t="str">
        <f t="shared" si="19"/>
        <v>Continuer</v>
      </c>
    </row>
    <row r="76" spans="6:18" x14ac:dyDescent="0.3">
      <c r="F76" s="13"/>
      <c r="G76" s="4">
        <f t="shared" si="10"/>
        <v>73</v>
      </c>
      <c r="H76">
        <v>25.972200605554001</v>
      </c>
      <c r="I76">
        <f t="shared" si="14"/>
        <v>31.207187680105303</v>
      </c>
      <c r="J76">
        <v>44.7845821487767</v>
      </c>
      <c r="K76">
        <f t="shared" si="15"/>
        <v>43.350699712183385</v>
      </c>
      <c r="L76">
        <f t="shared" si="11"/>
        <v>61.761860797845998</v>
      </c>
      <c r="M76">
        <f t="shared" si="12"/>
        <v>67.678294159069452</v>
      </c>
      <c r="N76">
        <f t="shared" si="16"/>
        <v>5.9164333612234543</v>
      </c>
      <c r="O76" t="str">
        <f t="shared" si="13"/>
        <v>J2</v>
      </c>
      <c r="P76">
        <f t="shared" si="17"/>
        <v>69.215264364617994</v>
      </c>
      <c r="Q76">
        <f t="shared" si="18"/>
        <v>73.09473563538198</v>
      </c>
      <c r="R76" s="12" t="str">
        <f t="shared" si="19"/>
        <v>Continuer</v>
      </c>
    </row>
    <row r="77" spans="6:18" x14ac:dyDescent="0.3">
      <c r="F77" s="13"/>
      <c r="G77" s="4">
        <f t="shared" si="10"/>
        <v>74</v>
      </c>
      <c r="H77">
        <v>57.881158810297897</v>
      </c>
      <c r="I77">
        <f t="shared" si="14"/>
        <v>44.544173245201598</v>
      </c>
      <c r="J77">
        <v>32.908725538370902</v>
      </c>
      <c r="K77">
        <f t="shared" si="15"/>
        <v>38.129712625277143</v>
      </c>
      <c r="L77">
        <f t="shared" si="11"/>
        <v>66.268354353313228</v>
      </c>
      <c r="M77">
        <f t="shared" si="12"/>
        <v>66.41819999487825</v>
      </c>
      <c r="N77">
        <f t="shared" si="16"/>
        <v>0.14984564156502245</v>
      </c>
      <c r="O77" t="str">
        <f t="shared" si="13"/>
        <v>J2</v>
      </c>
      <c r="P77">
        <f t="shared" si="17"/>
        <v>69.185295236304995</v>
      </c>
      <c r="Q77">
        <f t="shared" si="18"/>
        <v>73.124704763694979</v>
      </c>
      <c r="R77" s="12" t="str">
        <f t="shared" si="19"/>
        <v>Continuer</v>
      </c>
    </row>
    <row r="78" spans="6:18" x14ac:dyDescent="0.3">
      <c r="F78" s="13"/>
      <c r="G78" s="4">
        <f t="shared" si="10"/>
        <v>75</v>
      </c>
      <c r="H78">
        <v>68.332724119519597</v>
      </c>
      <c r="I78">
        <f t="shared" si="14"/>
        <v>56.438448682360601</v>
      </c>
      <c r="J78">
        <v>4.4876739085047301</v>
      </c>
      <c r="K78">
        <f t="shared" si="15"/>
        <v>21.308693266890938</v>
      </c>
      <c r="L78">
        <f t="shared" si="11"/>
        <v>71.00508613835774</v>
      </c>
      <c r="M78">
        <f t="shared" si="12"/>
        <v>59.710770641342862</v>
      </c>
      <c r="N78">
        <f t="shared" si="16"/>
        <v>11.294315497014878</v>
      </c>
      <c r="O78" t="str">
        <f t="shared" si="13"/>
        <v>J1</v>
      </c>
      <c r="P78">
        <f t="shared" si="17"/>
        <v>71.444158335707968</v>
      </c>
      <c r="Q78">
        <f t="shared" si="18"/>
        <v>70.865841664292006</v>
      </c>
      <c r="R78" s="12" t="str">
        <f t="shared" si="19"/>
        <v>Continuer</v>
      </c>
    </row>
    <row r="79" spans="6:18" x14ac:dyDescent="0.3">
      <c r="F79" s="13"/>
      <c r="G79" s="4">
        <f t="shared" si="10"/>
        <v>76</v>
      </c>
      <c r="H79">
        <v>0.58400274291359</v>
      </c>
      <c r="I79">
        <f t="shared" si="14"/>
        <v>28.511225712637096</v>
      </c>
      <c r="J79">
        <v>-6.1232089316969596</v>
      </c>
      <c r="K79">
        <f t="shared" si="15"/>
        <v>7.5927421675969891</v>
      </c>
      <c r="L79">
        <f t="shared" si="11"/>
        <v>61.415401120050419</v>
      </c>
      <c r="M79">
        <f t="shared" si="12"/>
        <v>52.643186032043197</v>
      </c>
      <c r="N79">
        <f t="shared" si="16"/>
        <v>8.7722150880072221</v>
      </c>
      <c r="O79" t="str">
        <f t="shared" si="13"/>
        <v>J1</v>
      </c>
      <c r="P79">
        <f t="shared" si="17"/>
        <v>73.198601353309414</v>
      </c>
      <c r="Q79">
        <f t="shared" si="18"/>
        <v>69.11139864669056</v>
      </c>
      <c r="R79" s="12" t="str">
        <f t="shared" si="19"/>
        <v>Continuer</v>
      </c>
    </row>
    <row r="80" spans="6:18" x14ac:dyDescent="0.3">
      <c r="F80" s="13"/>
      <c r="G80" s="4">
        <f t="shared" si="10"/>
        <v>77</v>
      </c>
      <c r="H80">
        <v>35.792893641995498</v>
      </c>
      <c r="I80">
        <f t="shared" si="14"/>
        <v>32.152059677316295</v>
      </c>
      <c r="J80">
        <v>80.847344628461698</v>
      </c>
      <c r="K80">
        <f t="shared" si="15"/>
        <v>44.220043398029347</v>
      </c>
      <c r="L80">
        <f t="shared" si="11"/>
        <v>64.099844818243113</v>
      </c>
      <c r="M80">
        <f t="shared" si="12"/>
        <v>66.065996411895128</v>
      </c>
      <c r="N80">
        <f t="shared" si="16"/>
        <v>1.9661515936520146</v>
      </c>
      <c r="O80" t="str">
        <f t="shared" si="13"/>
        <v>J2</v>
      </c>
      <c r="P80">
        <f t="shared" si="17"/>
        <v>72.805371034579011</v>
      </c>
      <c r="Q80">
        <f t="shared" si="18"/>
        <v>69.504628965420963</v>
      </c>
      <c r="R80" s="12" t="str">
        <f t="shared" si="19"/>
        <v>Continuer</v>
      </c>
    </row>
    <row r="81" spans="6:18" x14ac:dyDescent="0.3">
      <c r="F81" s="13"/>
      <c r="G81" s="4">
        <f t="shared" si="10"/>
        <v>78</v>
      </c>
      <c r="H81">
        <v>22.489794932958301</v>
      </c>
      <c r="I81">
        <f t="shared" si="14"/>
        <v>27.320927305137296</v>
      </c>
      <c r="J81">
        <v>27.3635399190733</v>
      </c>
      <c r="K81">
        <f t="shared" si="15"/>
        <v>35.791791658551325</v>
      </c>
      <c r="L81">
        <f t="shared" si="11"/>
        <v>61.89213064626022</v>
      </c>
      <c r="M81">
        <f t="shared" si="12"/>
        <v>62.969956939215201</v>
      </c>
      <c r="N81">
        <f t="shared" si="16"/>
        <v>1.0778262929549811</v>
      </c>
      <c r="O81" t="str">
        <f t="shared" si="13"/>
        <v>J2</v>
      </c>
      <c r="P81">
        <f t="shared" si="17"/>
        <v>72.589805775988012</v>
      </c>
      <c r="Q81">
        <f t="shared" si="18"/>
        <v>69.720194224011962</v>
      </c>
      <c r="R81" s="12" t="str">
        <f t="shared" si="19"/>
        <v>Continuer</v>
      </c>
    </row>
    <row r="82" spans="6:18" x14ac:dyDescent="0.3">
      <c r="F82" s="13"/>
      <c r="G82" s="4">
        <f t="shared" si="10"/>
        <v>79</v>
      </c>
      <c r="H82">
        <v>39.501362237850003</v>
      </c>
      <c r="I82">
        <f t="shared" si="14"/>
        <v>33.411144771493653</v>
      </c>
      <c r="J82">
        <v>20.979746277894598</v>
      </c>
      <c r="K82">
        <f t="shared" si="15"/>
        <v>28.385768968222962</v>
      </c>
      <c r="L82">
        <f t="shared" si="11"/>
        <v>64.177321951789068</v>
      </c>
      <c r="M82">
        <f t="shared" si="12"/>
        <v>60.158443544097558</v>
      </c>
      <c r="N82">
        <f t="shared" si="16"/>
        <v>4.0188784076915098</v>
      </c>
      <c r="O82" t="str">
        <f t="shared" si="13"/>
        <v>J1</v>
      </c>
      <c r="P82">
        <f t="shared" si="17"/>
        <v>73.393581457526309</v>
      </c>
      <c r="Q82">
        <f t="shared" si="18"/>
        <v>68.916418542473664</v>
      </c>
      <c r="R82" s="12" t="str">
        <f t="shared" si="19"/>
        <v>Continuer</v>
      </c>
    </row>
    <row r="83" spans="6:18" x14ac:dyDescent="0.3">
      <c r="F83" s="13"/>
      <c r="G83" s="4">
        <f t="shared" si="10"/>
        <v>80</v>
      </c>
      <c r="H83">
        <v>64.4054079724377</v>
      </c>
      <c r="I83">
        <f t="shared" si="14"/>
        <v>48.908276371965677</v>
      </c>
      <c r="J83">
        <v>75.335699468209995</v>
      </c>
      <c r="K83">
        <f t="shared" si="15"/>
        <v>51.860734218216479</v>
      </c>
      <c r="L83">
        <f t="shared" si="11"/>
        <v>70.938817569054692</v>
      </c>
      <c r="M83">
        <f t="shared" si="12"/>
        <v>68.985786667018147</v>
      </c>
      <c r="N83">
        <f t="shared" si="16"/>
        <v>1.9530309020365451</v>
      </c>
      <c r="O83" t="str">
        <f t="shared" si="13"/>
        <v>J1</v>
      </c>
      <c r="P83">
        <f t="shared" si="17"/>
        <v>73.784187637933613</v>
      </c>
      <c r="Q83">
        <f t="shared" si="18"/>
        <v>68.525812362066361</v>
      </c>
      <c r="R83" s="12" t="str">
        <f t="shared" si="19"/>
        <v>Continuer</v>
      </c>
    </row>
    <row r="84" spans="6:18" x14ac:dyDescent="0.3">
      <c r="F84" s="13"/>
      <c r="G84" s="4">
        <f t="shared" si="10"/>
        <v>81</v>
      </c>
      <c r="H84">
        <v>62.363011596897003</v>
      </c>
      <c r="I84">
        <f t="shared" si="14"/>
        <v>55.63564398443134</v>
      </c>
      <c r="J84">
        <v>40.174795782854098</v>
      </c>
      <c r="K84">
        <f t="shared" si="15"/>
        <v>46.017765000535292</v>
      </c>
      <c r="L84">
        <f t="shared" si="11"/>
        <v>73.903188940326061</v>
      </c>
      <c r="M84">
        <f t="shared" si="12"/>
        <v>66.375174653660565</v>
      </c>
      <c r="N84">
        <f t="shared" si="16"/>
        <v>7.5280142866654955</v>
      </c>
      <c r="O84" t="str">
        <f t="shared" si="13"/>
        <v>J1</v>
      </c>
      <c r="P84">
        <f t="shared" si="17"/>
        <v>75.289790495266715</v>
      </c>
      <c r="Q84">
        <f t="shared" si="18"/>
        <v>67.020209504733259</v>
      </c>
      <c r="R84" s="12" t="str">
        <f t="shared" si="19"/>
        <v>Continuer</v>
      </c>
    </row>
    <row r="85" spans="6:18" x14ac:dyDescent="0.3">
      <c r="F85" s="13"/>
      <c r="G85" s="4">
        <f t="shared" si="10"/>
        <v>82</v>
      </c>
      <c r="H85">
        <v>32.237439110888502</v>
      </c>
      <c r="I85">
        <f t="shared" si="14"/>
        <v>43.936541547659921</v>
      </c>
      <c r="J85">
        <v>51.6022486865335</v>
      </c>
      <c r="K85">
        <f t="shared" si="15"/>
        <v>48.810006843534396</v>
      </c>
      <c r="L85">
        <f t="shared" si="11"/>
        <v>70.277469965750669</v>
      </c>
      <c r="M85">
        <f t="shared" si="12"/>
        <v>66.438149390727034</v>
      </c>
      <c r="N85">
        <f t="shared" si="16"/>
        <v>3.8393205750236348</v>
      </c>
      <c r="O85" t="str">
        <f t="shared" si="13"/>
        <v>J1</v>
      </c>
      <c r="P85">
        <f t="shared" si="17"/>
        <v>76.057654610271442</v>
      </c>
      <c r="Q85">
        <f t="shared" si="18"/>
        <v>66.252345389728532</v>
      </c>
      <c r="R85" s="12" t="str">
        <f t="shared" si="19"/>
        <v>Continuer</v>
      </c>
    </row>
    <row r="86" spans="6:18" x14ac:dyDescent="0.3">
      <c r="F86" s="13"/>
      <c r="G86" s="4">
        <f t="shared" si="10"/>
        <v>83</v>
      </c>
      <c r="H86">
        <v>41.264078091192196</v>
      </c>
      <c r="I86">
        <f t="shared" si="14"/>
        <v>42.600309819426059</v>
      </c>
      <c r="J86">
        <v>23.288091337573</v>
      </c>
      <c r="K86">
        <f t="shared" si="15"/>
        <v>36.049049090553694</v>
      </c>
      <c r="L86">
        <f t="shared" si="11"/>
        <v>70.280482154960424</v>
      </c>
      <c r="M86">
        <f t="shared" si="12"/>
        <v>60.796261409031445</v>
      </c>
      <c r="N86">
        <f t="shared" si="16"/>
        <v>9.4842207459289796</v>
      </c>
      <c r="O86" t="str">
        <f t="shared" si="13"/>
        <v>J1</v>
      </c>
      <c r="P86">
        <f t="shared" si="17"/>
        <v>77.954498759457238</v>
      </c>
      <c r="Q86">
        <f t="shared" si="18"/>
        <v>64.355501240542736</v>
      </c>
      <c r="R86" s="12" t="str">
        <f t="shared" si="19"/>
        <v>Continuer</v>
      </c>
    </row>
    <row r="87" spans="6:18" x14ac:dyDescent="0.3">
      <c r="F87" s="13"/>
      <c r="G87" s="4">
        <f t="shared" si="10"/>
        <v>84</v>
      </c>
      <c r="H87">
        <v>51.660858678836398</v>
      </c>
      <c r="I87">
        <f t="shared" si="14"/>
        <v>47.130584249131232</v>
      </c>
      <c r="J87">
        <v>52.1655433108008</v>
      </c>
      <c r="K87">
        <f t="shared" si="15"/>
        <v>44.107296200677247</v>
      </c>
      <c r="L87">
        <f t="shared" si="11"/>
        <v>73.420382831272548</v>
      </c>
      <c r="M87">
        <f t="shared" si="12"/>
        <v>62.691769348650816</v>
      </c>
      <c r="N87">
        <f t="shared" si="16"/>
        <v>10.728613482621732</v>
      </c>
      <c r="O87" t="str">
        <f t="shared" si="13"/>
        <v>J1</v>
      </c>
      <c r="P87">
        <f t="shared" si="17"/>
        <v>80.100221455981583</v>
      </c>
      <c r="Q87">
        <f t="shared" si="18"/>
        <v>62.209778544018391</v>
      </c>
      <c r="R87" s="12" t="str">
        <f t="shared" si="19"/>
        <v>Continuer</v>
      </c>
    </row>
    <row r="88" spans="6:18" x14ac:dyDescent="0.3">
      <c r="F88" s="13"/>
      <c r="G88" s="4">
        <f t="shared" si="10"/>
        <v>85</v>
      </c>
      <c r="H88">
        <v>74.734089364150606</v>
      </c>
      <c r="I88">
        <f t="shared" si="14"/>
        <v>60.932336806640919</v>
      </c>
      <c r="J88">
        <v>43.582974790956499</v>
      </c>
      <c r="K88">
        <f t="shared" si="15"/>
        <v>43.845135495816876</v>
      </c>
      <c r="L88">
        <f t="shared" si="11"/>
        <v>80.443089741843465</v>
      </c>
      <c r="M88">
        <f t="shared" si="12"/>
        <v>61.084899179139626</v>
      </c>
      <c r="N88">
        <f t="shared" si="16"/>
        <v>19.35819056270384</v>
      </c>
      <c r="O88" t="str">
        <f t="shared" si="13"/>
        <v>J1</v>
      </c>
      <c r="P88">
        <f t="shared" si="17"/>
        <v>83.971859568522348</v>
      </c>
      <c r="Q88">
        <f t="shared" si="18"/>
        <v>58.338140431477626</v>
      </c>
      <c r="R88" s="12" t="str">
        <f t="shared" si="19"/>
        <v>Continuer</v>
      </c>
    </row>
    <row r="89" spans="6:18" x14ac:dyDescent="0.3">
      <c r="F89" s="13"/>
      <c r="G89" s="4">
        <f t="shared" si="10"/>
        <v>86</v>
      </c>
      <c r="H89">
        <v>55.8609336752396</v>
      </c>
      <c r="I89">
        <f t="shared" si="14"/>
        <v>58.396635240940256</v>
      </c>
      <c r="J89">
        <v>43.714878635941297</v>
      </c>
      <c r="K89">
        <f t="shared" si="15"/>
        <v>43.78000706587909</v>
      </c>
      <c r="L89">
        <f t="shared" si="11"/>
        <v>82.13895579434174</v>
      </c>
      <c r="M89">
        <f t="shared" si="12"/>
        <v>58.348701128385969</v>
      </c>
      <c r="N89">
        <f t="shared" si="16"/>
        <v>23.790254665955771</v>
      </c>
      <c r="O89" t="str">
        <f t="shared" si="13"/>
        <v>J1</v>
      </c>
      <c r="P89">
        <f t="shared" si="17"/>
        <v>88.729910501713505</v>
      </c>
      <c r="Q89">
        <f t="shared" si="18"/>
        <v>53.580089498286469</v>
      </c>
      <c r="R89" s="12" t="str">
        <f t="shared" si="19"/>
        <v>Continuer</v>
      </c>
    </row>
    <row r="90" spans="6:18" x14ac:dyDescent="0.3">
      <c r="F90" s="13"/>
      <c r="G90" s="4">
        <f t="shared" si="10"/>
        <v>87</v>
      </c>
      <c r="H90">
        <v>30.169654797760298</v>
      </c>
      <c r="I90">
        <f t="shared" si="14"/>
        <v>44.283145019350279</v>
      </c>
      <c r="J90">
        <v>73.714265373061806</v>
      </c>
      <c r="K90">
        <f t="shared" si="15"/>
        <v>58.747136219470448</v>
      </c>
      <c r="L90">
        <f t="shared" si="11"/>
        <v>79.824195358939562</v>
      </c>
      <c r="M90">
        <f t="shared" si="12"/>
        <v>61.004917136588702</v>
      </c>
      <c r="N90">
        <f t="shared" si="16"/>
        <v>18.81927822235086</v>
      </c>
      <c r="O90" t="str">
        <f t="shared" si="13"/>
        <v>J1</v>
      </c>
      <c r="P90">
        <f t="shared" si="17"/>
        <v>92.493766146183674</v>
      </c>
      <c r="Q90">
        <f t="shared" si="18"/>
        <v>49.8162338538163</v>
      </c>
      <c r="R90" s="12" t="str">
        <f t="shared" si="19"/>
        <v>Continuer</v>
      </c>
    </row>
    <row r="91" spans="6:18" x14ac:dyDescent="0.3">
      <c r="F91" s="13"/>
      <c r="G91" s="4">
        <f t="shared" si="10"/>
        <v>88</v>
      </c>
      <c r="H91">
        <v>52.9650629825585</v>
      </c>
      <c r="I91">
        <f t="shared" si="14"/>
        <v>48.624104000954389</v>
      </c>
      <c r="J91">
        <v>10.711816427769699</v>
      </c>
      <c r="K91">
        <f t="shared" si="15"/>
        <v>34.729476323620077</v>
      </c>
      <c r="L91">
        <f t="shared" si="11"/>
        <v>84.195277902710316</v>
      </c>
      <c r="M91">
        <f t="shared" si="12"/>
        <v>48.763154227119436</v>
      </c>
      <c r="N91">
        <f t="shared" si="16"/>
        <v>35.43212367559088</v>
      </c>
      <c r="O91" t="str">
        <f t="shared" si="13"/>
        <v>J1</v>
      </c>
      <c r="P91">
        <f t="shared" si="17"/>
        <v>99.580190881301846</v>
      </c>
      <c r="Q91">
        <f t="shared" si="18"/>
        <v>42.729809118698121</v>
      </c>
      <c r="R91" s="12" t="str">
        <f t="shared" si="19"/>
        <v>Continuer</v>
      </c>
    </row>
    <row r="92" spans="6:18" x14ac:dyDescent="0.3">
      <c r="F92" s="13"/>
      <c r="G92" s="4">
        <f t="shared" si="10"/>
        <v>89</v>
      </c>
      <c r="H92">
        <v>40.787511384822999</v>
      </c>
      <c r="I92">
        <f t="shared" si="14"/>
        <v>44.705807692888698</v>
      </c>
      <c r="J92">
        <v>58.256984513316901</v>
      </c>
      <c r="K92">
        <f t="shared" si="15"/>
        <v>46.493230418468485</v>
      </c>
      <c r="L92">
        <f t="shared" si="11"/>
        <v>87.588456694066764</v>
      </c>
      <c r="M92">
        <f t="shared" si="12"/>
        <v>48.508158550476075</v>
      </c>
      <c r="N92">
        <f t="shared" si="16"/>
        <v>39.080298143590689</v>
      </c>
      <c r="O92" t="str">
        <f t="shared" si="13"/>
        <v>J1</v>
      </c>
      <c r="P92">
        <f t="shared" si="17"/>
        <v>107.39625051001998</v>
      </c>
      <c r="Q92">
        <f t="shared" si="18"/>
        <v>34.913749489979985</v>
      </c>
      <c r="R92" s="12" t="str">
        <f t="shared" si="19"/>
        <v>Continuer</v>
      </c>
    </row>
    <row r="93" spans="6:18" x14ac:dyDescent="0.3">
      <c r="F93" s="13"/>
      <c r="G93" s="4">
        <f t="shared" si="10"/>
        <v>90</v>
      </c>
      <c r="H93">
        <v>28.117382495660401</v>
      </c>
      <c r="I93">
        <f t="shared" si="14"/>
        <v>36.411595094274546</v>
      </c>
      <c r="J93">
        <v>40.578938712798497</v>
      </c>
      <c r="K93">
        <f t="shared" si="15"/>
        <v>43.536084565633487</v>
      </c>
      <c r="L93">
        <f t="shared" si="11"/>
        <v>89.742013394723813</v>
      </c>
      <c r="M93">
        <f t="shared" si="12"/>
        <v>41.854058469239384</v>
      </c>
      <c r="N93">
        <f t="shared" si="16"/>
        <v>47.887954925484429</v>
      </c>
      <c r="O93" t="str">
        <f t="shared" si="13"/>
        <v>J1</v>
      </c>
      <c r="P93">
        <f t="shared" si="17"/>
        <v>116.97384149511687</v>
      </c>
      <c r="Q93">
        <f t="shared" si="18"/>
        <v>25.336158504883098</v>
      </c>
      <c r="R93" s="12" t="str">
        <f t="shared" si="19"/>
        <v>Continuer</v>
      </c>
    </row>
    <row r="94" spans="6:18" x14ac:dyDescent="0.3">
      <c r="F94" s="13"/>
      <c r="G94" s="4">
        <f t="shared" si="10"/>
        <v>91</v>
      </c>
      <c r="H94">
        <v>12.383327824547001</v>
      </c>
      <c r="I94">
        <f t="shared" si="14"/>
        <v>24.397461459410774</v>
      </c>
      <c r="J94">
        <v>16.857695348495501</v>
      </c>
      <c r="K94">
        <f t="shared" si="15"/>
        <v>30.196889957064492</v>
      </c>
      <c r="L94">
        <f t="shared" si="11"/>
        <v>91.640673630346129</v>
      </c>
      <c r="M94">
        <f t="shared" si="12"/>
        <v>29.814066936243965</v>
      </c>
      <c r="N94">
        <f t="shared" si="16"/>
        <v>61.826606694102168</v>
      </c>
      <c r="O94" t="str">
        <f t="shared" si="13"/>
        <v>J1</v>
      </c>
      <c r="P94">
        <f t="shared" si="17"/>
        <v>129.33916283393731</v>
      </c>
      <c r="Q94">
        <f t="shared" si="18"/>
        <v>12.970837166062664</v>
      </c>
      <c r="R94" s="12" t="str">
        <f t="shared" si="19"/>
        <v>Continuer</v>
      </c>
    </row>
    <row r="95" spans="6:18" x14ac:dyDescent="0.3">
      <c r="F95" s="13"/>
      <c r="G95" s="4">
        <f t="shared" si="10"/>
        <v>92</v>
      </c>
      <c r="H95">
        <v>62.511830893348098</v>
      </c>
      <c r="I95">
        <f t="shared" si="14"/>
        <v>43.454646176379434</v>
      </c>
      <c r="J95">
        <v>14.050632250862799</v>
      </c>
      <c r="K95">
        <f t="shared" si="15"/>
        <v>22.123761103963645</v>
      </c>
      <c r="L95">
        <f t="shared" si="11"/>
        <v>107.91927245430789</v>
      </c>
      <c r="M95">
        <f t="shared" si="12"/>
        <v>17.929090457829322</v>
      </c>
      <c r="N95">
        <f t="shared" si="16"/>
        <v>89.990181996478569</v>
      </c>
      <c r="O95" t="str">
        <f t="shared" si="13"/>
        <v>J1</v>
      </c>
      <c r="P95">
        <f t="shared" si="17"/>
        <v>147.33719923323304</v>
      </c>
      <c r="Q95">
        <f t="shared" si="18"/>
        <v>-5.0271992332330502</v>
      </c>
      <c r="R95" s="12" t="str">
        <f t="shared" si="19"/>
        <v>Arret</v>
      </c>
    </row>
    <row r="96" spans="6:18" x14ac:dyDescent="0.3">
      <c r="F96" s="13"/>
    </row>
    <row r="97" spans="6:6" x14ac:dyDescent="0.3">
      <c r="F97" s="13"/>
    </row>
    <row r="98" spans="6:6" x14ac:dyDescent="0.3">
      <c r="F98" s="13"/>
    </row>
    <row r="99" spans="6:6" x14ac:dyDescent="0.3">
      <c r="F99" s="13"/>
    </row>
    <row r="100" spans="6:6" x14ac:dyDescent="0.3">
      <c r="F100" s="13"/>
    </row>
    <row r="101" spans="6:6" x14ac:dyDescent="0.3">
      <c r="F101" s="13"/>
    </row>
    <row r="102" spans="6:6" x14ac:dyDescent="0.3">
      <c r="F102" s="13"/>
    </row>
    <row r="103" spans="6:6" x14ac:dyDescent="0.3">
      <c r="F103" s="13"/>
    </row>
    <row r="104" spans="6:6" x14ac:dyDescent="0.3">
      <c r="F104" s="13"/>
    </row>
    <row r="105" spans="6:6" x14ac:dyDescent="0.3">
      <c r="F105" s="13"/>
    </row>
    <row r="106" spans="6:6" x14ac:dyDescent="0.3">
      <c r="F106" s="13"/>
    </row>
    <row r="107" spans="6:6" x14ac:dyDescent="0.3">
      <c r="F107" s="13"/>
    </row>
    <row r="108" spans="6:6" x14ac:dyDescent="0.3">
      <c r="F108" s="13"/>
    </row>
    <row r="109" spans="6:6" x14ac:dyDescent="0.3">
      <c r="F109" s="13"/>
    </row>
    <row r="110" spans="6:6" x14ac:dyDescent="0.3">
      <c r="F110" s="13"/>
    </row>
    <row r="111" spans="6:6" x14ac:dyDescent="0.3">
      <c r="F111" s="13"/>
    </row>
    <row r="112" spans="6:6" x14ac:dyDescent="0.3">
      <c r="F112" s="13"/>
    </row>
    <row r="113" spans="6:6" x14ac:dyDescent="0.3">
      <c r="F113" s="13"/>
    </row>
    <row r="114" spans="6:6" x14ac:dyDescent="0.3">
      <c r="F114" s="13"/>
    </row>
    <row r="115" spans="6:6" x14ac:dyDescent="0.3">
      <c r="F115" s="13"/>
    </row>
    <row r="116" spans="6:6" x14ac:dyDescent="0.3">
      <c r="F116" s="13"/>
    </row>
    <row r="117" spans="6:6" x14ac:dyDescent="0.3">
      <c r="F117" s="13"/>
    </row>
    <row r="118" spans="6:6" x14ac:dyDescent="0.3">
      <c r="F118" s="13"/>
    </row>
    <row r="119" spans="6:6" x14ac:dyDescent="0.3">
      <c r="F119" s="13"/>
    </row>
    <row r="120" spans="6:6" x14ac:dyDescent="0.3">
      <c r="F120" s="13"/>
    </row>
    <row r="121" spans="6:6" x14ac:dyDescent="0.3">
      <c r="F121" s="13"/>
    </row>
    <row r="122" spans="6:6" x14ac:dyDescent="0.3">
      <c r="F122" s="13"/>
    </row>
    <row r="123" spans="6:6" x14ac:dyDescent="0.3">
      <c r="F123" s="13"/>
    </row>
    <row r="124" spans="6:6" x14ac:dyDescent="0.3">
      <c r="F124" s="13"/>
    </row>
    <row r="125" spans="6:6" x14ac:dyDescent="0.3">
      <c r="F125" s="13"/>
    </row>
    <row r="126" spans="6:6" x14ac:dyDescent="0.3">
      <c r="F126" s="13"/>
    </row>
    <row r="127" spans="6:6" x14ac:dyDescent="0.3">
      <c r="F127" s="13"/>
    </row>
    <row r="128" spans="6:6" x14ac:dyDescent="0.3">
      <c r="F128" s="13"/>
    </row>
    <row r="129" spans="6:6" x14ac:dyDescent="0.3">
      <c r="F129" s="13"/>
    </row>
    <row r="130" spans="6:6" x14ac:dyDescent="0.3">
      <c r="F130" s="13"/>
    </row>
    <row r="131" spans="6:6" x14ac:dyDescent="0.3">
      <c r="F131" s="13"/>
    </row>
    <row r="132" spans="6:6" x14ac:dyDescent="0.3">
      <c r="F132" s="13"/>
    </row>
    <row r="133" spans="6:6" x14ac:dyDescent="0.3">
      <c r="F133" s="13"/>
    </row>
    <row r="134" spans="6:6" x14ac:dyDescent="0.3">
      <c r="F134" s="13"/>
    </row>
    <row r="135" spans="6:6" x14ac:dyDescent="0.3">
      <c r="F135" s="13"/>
    </row>
    <row r="136" spans="6:6" x14ac:dyDescent="0.3">
      <c r="F136" s="13"/>
    </row>
    <row r="137" spans="6:6" x14ac:dyDescent="0.3">
      <c r="F137" s="13"/>
    </row>
    <row r="138" spans="6:6" x14ac:dyDescent="0.3">
      <c r="F138" s="13"/>
    </row>
    <row r="139" spans="6:6" x14ac:dyDescent="0.3">
      <c r="F139" s="13"/>
    </row>
    <row r="140" spans="6:6" x14ac:dyDescent="0.3">
      <c r="F140" s="13"/>
    </row>
    <row r="141" spans="6:6" x14ac:dyDescent="0.3">
      <c r="F141" s="13"/>
    </row>
    <row r="142" spans="6:6" x14ac:dyDescent="0.3">
      <c r="F142" s="13"/>
    </row>
    <row r="143" spans="6:6" x14ac:dyDescent="0.3">
      <c r="F143" s="13"/>
    </row>
    <row r="144" spans="6:6" x14ac:dyDescent="0.3">
      <c r="F144" s="13"/>
    </row>
    <row r="145" spans="6:6" x14ac:dyDescent="0.3">
      <c r="F145" s="13"/>
    </row>
    <row r="146" spans="6:6" x14ac:dyDescent="0.3">
      <c r="F146" s="13"/>
    </row>
    <row r="147" spans="6:6" x14ac:dyDescent="0.3">
      <c r="F147" s="13"/>
    </row>
    <row r="148" spans="6:6" x14ac:dyDescent="0.3">
      <c r="F148" s="13"/>
    </row>
    <row r="149" spans="6:6" x14ac:dyDescent="0.3">
      <c r="F149" s="13"/>
    </row>
    <row r="150" spans="6:6" x14ac:dyDescent="0.3">
      <c r="F150" s="13"/>
    </row>
    <row r="151" spans="6:6" x14ac:dyDescent="0.3">
      <c r="F151" s="13"/>
    </row>
    <row r="152" spans="6:6" x14ac:dyDescent="0.3">
      <c r="F152" s="13"/>
    </row>
    <row r="153" spans="6:6" x14ac:dyDescent="0.3">
      <c r="F153" s="13"/>
    </row>
    <row r="154" spans="6:6" x14ac:dyDescent="0.3">
      <c r="F154" s="13"/>
    </row>
    <row r="155" spans="6:6" x14ac:dyDescent="0.3">
      <c r="F155" s="13"/>
    </row>
    <row r="156" spans="6:6" x14ac:dyDescent="0.3">
      <c r="F156" s="13"/>
    </row>
    <row r="157" spans="6:6" x14ac:dyDescent="0.3">
      <c r="F157" s="13"/>
    </row>
    <row r="158" spans="6:6" x14ac:dyDescent="0.3">
      <c r="F158" s="13"/>
    </row>
    <row r="159" spans="6:6" x14ac:dyDescent="0.3">
      <c r="F159" s="13"/>
    </row>
    <row r="160" spans="6:6" x14ac:dyDescent="0.3">
      <c r="F160" s="13"/>
    </row>
    <row r="161" spans="6:6" x14ac:dyDescent="0.3">
      <c r="F161" s="13"/>
    </row>
    <row r="162" spans="6:6" x14ac:dyDescent="0.3">
      <c r="F162" s="13"/>
    </row>
    <row r="163" spans="6:6" x14ac:dyDescent="0.3">
      <c r="F163" s="13"/>
    </row>
    <row r="164" spans="6:6" x14ac:dyDescent="0.3">
      <c r="F164" s="13"/>
    </row>
    <row r="165" spans="6:6" x14ac:dyDescent="0.3">
      <c r="F165" s="13"/>
    </row>
    <row r="166" spans="6:6" x14ac:dyDescent="0.3">
      <c r="F166" s="13"/>
    </row>
    <row r="167" spans="6:6" x14ac:dyDescent="0.3">
      <c r="F167" s="13"/>
    </row>
    <row r="168" spans="6:6" x14ac:dyDescent="0.3">
      <c r="F168" s="13"/>
    </row>
    <row r="169" spans="6:6" x14ac:dyDescent="0.3">
      <c r="F169" s="13"/>
    </row>
    <row r="170" spans="6:6" x14ac:dyDescent="0.3">
      <c r="F170" s="13"/>
    </row>
    <row r="171" spans="6:6" x14ac:dyDescent="0.3">
      <c r="F171" s="13"/>
    </row>
    <row r="172" spans="6:6" x14ac:dyDescent="0.3">
      <c r="F172" s="13"/>
    </row>
    <row r="173" spans="6:6" x14ac:dyDescent="0.3">
      <c r="F173" s="13"/>
    </row>
    <row r="174" spans="6:6" x14ac:dyDescent="0.3">
      <c r="F174" s="13"/>
    </row>
    <row r="175" spans="6:6" x14ac:dyDescent="0.3">
      <c r="F175" s="13"/>
    </row>
    <row r="176" spans="6:6" x14ac:dyDescent="0.3">
      <c r="F176" s="13"/>
    </row>
    <row r="177" spans="6:6" x14ac:dyDescent="0.3">
      <c r="F177" s="13"/>
    </row>
    <row r="178" spans="6:6" x14ac:dyDescent="0.3">
      <c r="F178" s="13"/>
    </row>
    <row r="179" spans="6:6" x14ac:dyDescent="0.3">
      <c r="F179" s="13"/>
    </row>
    <row r="180" spans="6:6" x14ac:dyDescent="0.3">
      <c r="F180" s="13"/>
    </row>
    <row r="181" spans="6:6" x14ac:dyDescent="0.3">
      <c r="F181" s="13"/>
    </row>
    <row r="182" spans="6:6" x14ac:dyDescent="0.3">
      <c r="F182" s="13"/>
    </row>
    <row r="183" spans="6:6" x14ac:dyDescent="0.3">
      <c r="F183" s="13"/>
    </row>
    <row r="184" spans="6:6" x14ac:dyDescent="0.3">
      <c r="F184" s="13"/>
    </row>
    <row r="185" spans="6:6" x14ac:dyDescent="0.3">
      <c r="F185" s="13"/>
    </row>
    <row r="186" spans="6:6" x14ac:dyDescent="0.3">
      <c r="F186" s="13"/>
    </row>
    <row r="187" spans="6:6" x14ac:dyDescent="0.3">
      <c r="F187" s="13"/>
    </row>
    <row r="188" spans="6:6" x14ac:dyDescent="0.3">
      <c r="F188" s="13"/>
    </row>
    <row r="189" spans="6:6" x14ac:dyDescent="0.3">
      <c r="F189" s="13"/>
    </row>
    <row r="190" spans="6:6" x14ac:dyDescent="0.3">
      <c r="F190" s="13"/>
    </row>
    <row r="191" spans="6:6" x14ac:dyDescent="0.3">
      <c r="F191" s="13"/>
    </row>
    <row r="192" spans="6:6" x14ac:dyDescent="0.3">
      <c r="F192" s="13"/>
    </row>
    <row r="193" spans="6:6" x14ac:dyDescent="0.3">
      <c r="F193" s="13"/>
    </row>
    <row r="194" spans="6:6" x14ac:dyDescent="0.3">
      <c r="F194" s="13"/>
    </row>
    <row r="195" spans="6:6" x14ac:dyDescent="0.3">
      <c r="F195" s="13"/>
    </row>
    <row r="196" spans="6:6" x14ac:dyDescent="0.3">
      <c r="F196" s="13"/>
    </row>
    <row r="197" spans="6:6" x14ac:dyDescent="0.3">
      <c r="F197" s="13"/>
    </row>
    <row r="198" spans="6:6" x14ac:dyDescent="0.3">
      <c r="F198" s="13"/>
    </row>
    <row r="199" spans="6:6" x14ac:dyDescent="0.3">
      <c r="F199" s="13"/>
    </row>
    <row r="200" spans="6:6" x14ac:dyDescent="0.3">
      <c r="F200" s="13"/>
    </row>
    <row r="201" spans="6:6" x14ac:dyDescent="0.3">
      <c r="F201" s="13"/>
    </row>
    <row r="202" spans="6:6" x14ac:dyDescent="0.3">
      <c r="F202" s="13"/>
    </row>
    <row r="203" spans="6:6" x14ac:dyDescent="0.3">
      <c r="F203" s="13"/>
    </row>
    <row r="204" spans="6:6" x14ac:dyDescent="0.3">
      <c r="F204" s="13"/>
    </row>
    <row r="205" spans="6:6" x14ac:dyDescent="0.3">
      <c r="F205" s="13"/>
    </row>
    <row r="206" spans="6:6" x14ac:dyDescent="0.3">
      <c r="F206" s="13"/>
    </row>
    <row r="207" spans="6:6" x14ac:dyDescent="0.3">
      <c r="F207" s="13"/>
    </row>
    <row r="208" spans="6:6" x14ac:dyDescent="0.3">
      <c r="F208" s="13"/>
    </row>
    <row r="209" spans="6:6" x14ac:dyDescent="0.3">
      <c r="F209" s="13"/>
    </row>
    <row r="210" spans="6:6" x14ac:dyDescent="0.3">
      <c r="F210" s="13"/>
    </row>
    <row r="211" spans="6:6" x14ac:dyDescent="0.3">
      <c r="F211" s="13"/>
    </row>
    <row r="212" spans="6:6" x14ac:dyDescent="0.3">
      <c r="F212" s="13"/>
    </row>
    <row r="213" spans="6:6" x14ac:dyDescent="0.3">
      <c r="F213" s="13"/>
    </row>
    <row r="214" spans="6:6" x14ac:dyDescent="0.3">
      <c r="F214" s="13"/>
    </row>
    <row r="215" spans="6:6" x14ac:dyDescent="0.3">
      <c r="F215" s="13"/>
    </row>
    <row r="216" spans="6:6" x14ac:dyDescent="0.3">
      <c r="F216" s="13"/>
    </row>
    <row r="217" spans="6:6" x14ac:dyDescent="0.3">
      <c r="F217" s="13"/>
    </row>
    <row r="218" spans="6:6" x14ac:dyDescent="0.3">
      <c r="F218" s="13"/>
    </row>
    <row r="219" spans="6:6" x14ac:dyDescent="0.3">
      <c r="F219" s="13"/>
    </row>
    <row r="220" spans="6:6" x14ac:dyDescent="0.3">
      <c r="F220" s="13"/>
    </row>
    <row r="221" spans="6:6" x14ac:dyDescent="0.3">
      <c r="F221" s="13"/>
    </row>
    <row r="222" spans="6:6" x14ac:dyDescent="0.3">
      <c r="F222" s="13"/>
    </row>
    <row r="223" spans="6:6" x14ac:dyDescent="0.3">
      <c r="F223" s="13"/>
    </row>
    <row r="224" spans="6:6" x14ac:dyDescent="0.3">
      <c r="F224" s="13"/>
    </row>
    <row r="225" spans="6:6" x14ac:dyDescent="0.3">
      <c r="F225" s="13"/>
    </row>
    <row r="226" spans="6:6" x14ac:dyDescent="0.3">
      <c r="F226" s="13"/>
    </row>
    <row r="227" spans="6:6" x14ac:dyDescent="0.3">
      <c r="F227" s="13"/>
    </row>
    <row r="228" spans="6:6" x14ac:dyDescent="0.3">
      <c r="F228" s="13"/>
    </row>
    <row r="229" spans="6:6" x14ac:dyDescent="0.3">
      <c r="F229" s="13"/>
    </row>
    <row r="230" spans="6:6" x14ac:dyDescent="0.3">
      <c r="F230" s="13"/>
    </row>
    <row r="231" spans="6:6" x14ac:dyDescent="0.3">
      <c r="F231" s="13"/>
    </row>
    <row r="232" spans="6:6" x14ac:dyDescent="0.3">
      <c r="F232" s="13"/>
    </row>
    <row r="233" spans="6:6" x14ac:dyDescent="0.3">
      <c r="F233" s="13"/>
    </row>
    <row r="234" spans="6:6" x14ac:dyDescent="0.3">
      <c r="F234" s="13"/>
    </row>
    <row r="235" spans="6:6" x14ac:dyDescent="0.3">
      <c r="F235" s="13"/>
    </row>
    <row r="236" spans="6:6" x14ac:dyDescent="0.3">
      <c r="F236" s="13"/>
    </row>
    <row r="237" spans="6:6" x14ac:dyDescent="0.3">
      <c r="F237" s="13"/>
    </row>
    <row r="238" spans="6:6" x14ac:dyDescent="0.3">
      <c r="F238" s="13"/>
    </row>
    <row r="239" spans="6:6" x14ac:dyDescent="0.3">
      <c r="F239" s="13"/>
    </row>
    <row r="240" spans="6:6" x14ac:dyDescent="0.3">
      <c r="F240" s="13"/>
    </row>
    <row r="241" spans="6:6" x14ac:dyDescent="0.3">
      <c r="F241" s="13"/>
    </row>
    <row r="242" spans="6:6" x14ac:dyDescent="0.3">
      <c r="F242" s="13"/>
    </row>
    <row r="243" spans="6:6" x14ac:dyDescent="0.3">
      <c r="F243" s="13"/>
    </row>
    <row r="244" spans="6:6" x14ac:dyDescent="0.3">
      <c r="F244" s="13"/>
    </row>
    <row r="245" spans="6:6" x14ac:dyDescent="0.3">
      <c r="F245" s="13"/>
    </row>
    <row r="246" spans="6:6" x14ac:dyDescent="0.3">
      <c r="F246" s="13"/>
    </row>
    <row r="247" spans="6:6" x14ac:dyDescent="0.3">
      <c r="F247" s="13"/>
    </row>
    <row r="248" spans="6:6" x14ac:dyDescent="0.3">
      <c r="F248" s="13"/>
    </row>
    <row r="249" spans="6:6" x14ac:dyDescent="0.3">
      <c r="F249" s="13"/>
    </row>
    <row r="250" spans="6:6" x14ac:dyDescent="0.3">
      <c r="F250" s="13"/>
    </row>
    <row r="251" spans="6:6" x14ac:dyDescent="0.3">
      <c r="F251" s="13"/>
    </row>
    <row r="252" spans="6:6" x14ac:dyDescent="0.3">
      <c r="F252" s="13"/>
    </row>
    <row r="253" spans="6:6" x14ac:dyDescent="0.3">
      <c r="F253" s="13"/>
    </row>
    <row r="254" spans="6:6" x14ac:dyDescent="0.3">
      <c r="F254" s="13"/>
    </row>
    <row r="255" spans="6:6" x14ac:dyDescent="0.3">
      <c r="F255" s="13"/>
    </row>
    <row r="256" spans="6:6" x14ac:dyDescent="0.3">
      <c r="F256" s="13"/>
    </row>
    <row r="257" spans="6:6" x14ac:dyDescent="0.3">
      <c r="F257" s="13"/>
    </row>
    <row r="258" spans="6:6" x14ac:dyDescent="0.3">
      <c r="F258" s="13"/>
    </row>
    <row r="259" spans="6:6" x14ac:dyDescent="0.3">
      <c r="F259" s="13"/>
    </row>
    <row r="260" spans="6:6" x14ac:dyDescent="0.3">
      <c r="F260" s="13"/>
    </row>
    <row r="261" spans="6:6" x14ac:dyDescent="0.3">
      <c r="F261" s="13"/>
    </row>
    <row r="262" spans="6:6" x14ac:dyDescent="0.3">
      <c r="F262" s="13"/>
    </row>
    <row r="263" spans="6:6" x14ac:dyDescent="0.3">
      <c r="F263" s="13"/>
    </row>
    <row r="264" spans="6:6" x14ac:dyDescent="0.3">
      <c r="F264" s="13"/>
    </row>
    <row r="265" spans="6:6" x14ac:dyDescent="0.3">
      <c r="F265" s="13"/>
    </row>
    <row r="266" spans="6:6" x14ac:dyDescent="0.3">
      <c r="F266" s="13"/>
    </row>
    <row r="267" spans="6:6" x14ac:dyDescent="0.3">
      <c r="F267" s="13"/>
    </row>
    <row r="268" spans="6:6" x14ac:dyDescent="0.3">
      <c r="F268" s="13"/>
    </row>
    <row r="269" spans="6:6" x14ac:dyDescent="0.3">
      <c r="F269" s="13"/>
    </row>
    <row r="270" spans="6:6" x14ac:dyDescent="0.3">
      <c r="F270" s="13"/>
    </row>
    <row r="271" spans="6:6" x14ac:dyDescent="0.3">
      <c r="F271" s="13"/>
    </row>
    <row r="272" spans="6:6" x14ac:dyDescent="0.3">
      <c r="F272" s="13"/>
    </row>
    <row r="273" spans="6:6" x14ac:dyDescent="0.3">
      <c r="F273" s="13"/>
    </row>
    <row r="274" spans="6:6" x14ac:dyDescent="0.3">
      <c r="F274" s="13"/>
    </row>
    <row r="275" spans="6:6" x14ac:dyDescent="0.3">
      <c r="F275" s="13"/>
    </row>
    <row r="276" spans="6:6" x14ac:dyDescent="0.3">
      <c r="F276" s="13"/>
    </row>
    <row r="277" spans="6:6" x14ac:dyDescent="0.3">
      <c r="F277" s="13"/>
    </row>
    <row r="278" spans="6:6" x14ac:dyDescent="0.3">
      <c r="F278" s="13"/>
    </row>
    <row r="279" spans="6:6" x14ac:dyDescent="0.3">
      <c r="F279" s="13"/>
    </row>
    <row r="280" spans="6:6" x14ac:dyDescent="0.3">
      <c r="F280" s="13"/>
    </row>
    <row r="281" spans="6:6" x14ac:dyDescent="0.3">
      <c r="F281" s="13"/>
    </row>
    <row r="282" spans="6:6" x14ac:dyDescent="0.3">
      <c r="F282" s="13"/>
    </row>
    <row r="283" spans="6:6" x14ac:dyDescent="0.3">
      <c r="F283" s="13"/>
    </row>
    <row r="284" spans="6:6" x14ac:dyDescent="0.3">
      <c r="F284" s="13"/>
    </row>
    <row r="285" spans="6:6" x14ac:dyDescent="0.3">
      <c r="F285" s="13"/>
    </row>
    <row r="286" spans="6:6" x14ac:dyDescent="0.3">
      <c r="F286" s="13"/>
    </row>
    <row r="287" spans="6:6" x14ac:dyDescent="0.3">
      <c r="F287" s="13"/>
    </row>
    <row r="288" spans="6:6" x14ac:dyDescent="0.3">
      <c r="F288" s="13"/>
    </row>
    <row r="289" spans="6:6" x14ac:dyDescent="0.3">
      <c r="F289" s="13"/>
    </row>
    <row r="290" spans="6:6" x14ac:dyDescent="0.3">
      <c r="F290" s="13"/>
    </row>
    <row r="291" spans="6:6" x14ac:dyDescent="0.3">
      <c r="F291" s="13"/>
    </row>
    <row r="292" spans="6:6" x14ac:dyDescent="0.3">
      <c r="F292" s="13"/>
    </row>
    <row r="293" spans="6:6" x14ac:dyDescent="0.3">
      <c r="F293" s="13"/>
    </row>
    <row r="294" spans="6:6" x14ac:dyDescent="0.3">
      <c r="F294" s="13"/>
    </row>
    <row r="295" spans="6:6" x14ac:dyDescent="0.3">
      <c r="F295" s="13"/>
    </row>
    <row r="296" spans="6:6" x14ac:dyDescent="0.3">
      <c r="F296" s="13"/>
    </row>
    <row r="297" spans="6:6" x14ac:dyDescent="0.3">
      <c r="F297" s="13"/>
    </row>
    <row r="298" spans="6:6" x14ac:dyDescent="0.3">
      <c r="F298" s="13"/>
    </row>
    <row r="299" spans="6:6" x14ac:dyDescent="0.3">
      <c r="F299" s="13"/>
    </row>
    <row r="300" spans="6:6" x14ac:dyDescent="0.3">
      <c r="F300" s="13"/>
    </row>
    <row r="301" spans="6:6" x14ac:dyDescent="0.3">
      <c r="F301" s="13"/>
    </row>
    <row r="302" spans="6:6" x14ac:dyDescent="0.3">
      <c r="F302" s="13"/>
    </row>
    <row r="303" spans="6:6" x14ac:dyDescent="0.3">
      <c r="F303" s="13"/>
    </row>
    <row r="304" spans="6:6" x14ac:dyDescent="0.3">
      <c r="F304" s="13"/>
    </row>
    <row r="305" spans="6:6" x14ac:dyDescent="0.3">
      <c r="F305" s="13"/>
    </row>
    <row r="306" spans="6:6" x14ac:dyDescent="0.3">
      <c r="F306" s="13"/>
    </row>
    <row r="307" spans="6:6" x14ac:dyDescent="0.3">
      <c r="F307" s="13"/>
    </row>
    <row r="308" spans="6:6" x14ac:dyDescent="0.3">
      <c r="F308" s="13"/>
    </row>
    <row r="309" spans="6:6" x14ac:dyDescent="0.3">
      <c r="F309" s="13"/>
    </row>
    <row r="310" spans="6:6" x14ac:dyDescent="0.3">
      <c r="F310" s="13"/>
    </row>
    <row r="311" spans="6:6" x14ac:dyDescent="0.3">
      <c r="F311" s="13"/>
    </row>
    <row r="312" spans="6:6" x14ac:dyDescent="0.3">
      <c r="F312" s="13"/>
    </row>
    <row r="313" spans="6:6" x14ac:dyDescent="0.3">
      <c r="F313" s="13"/>
    </row>
    <row r="314" spans="6:6" x14ac:dyDescent="0.3">
      <c r="F314" s="13"/>
    </row>
    <row r="315" spans="6:6" x14ac:dyDescent="0.3">
      <c r="F315" s="13"/>
    </row>
    <row r="316" spans="6:6" x14ac:dyDescent="0.3">
      <c r="F316" s="13"/>
    </row>
    <row r="317" spans="6:6" x14ac:dyDescent="0.3">
      <c r="F317" s="13"/>
    </row>
    <row r="318" spans="6:6" x14ac:dyDescent="0.3">
      <c r="F318" s="13"/>
    </row>
    <row r="319" spans="6:6" x14ac:dyDescent="0.3">
      <c r="F319" s="13"/>
    </row>
    <row r="320" spans="6:6" x14ac:dyDescent="0.3">
      <c r="F320" s="13"/>
    </row>
    <row r="321" spans="6:6" x14ac:dyDescent="0.3">
      <c r="F321" s="13"/>
    </row>
    <row r="322" spans="6:6" x14ac:dyDescent="0.3">
      <c r="F322" s="13"/>
    </row>
    <row r="323" spans="6:6" x14ac:dyDescent="0.3">
      <c r="F323" s="13"/>
    </row>
    <row r="324" spans="6:6" x14ac:dyDescent="0.3">
      <c r="F324" s="13"/>
    </row>
    <row r="325" spans="6:6" x14ac:dyDescent="0.3">
      <c r="F325" s="13"/>
    </row>
    <row r="326" spans="6:6" x14ac:dyDescent="0.3">
      <c r="F326" s="13"/>
    </row>
    <row r="327" spans="6:6" x14ac:dyDescent="0.3">
      <c r="F327" s="13"/>
    </row>
    <row r="328" spans="6:6" x14ac:dyDescent="0.3">
      <c r="F328" s="13"/>
    </row>
    <row r="329" spans="6:6" x14ac:dyDescent="0.3">
      <c r="F329" s="13"/>
    </row>
    <row r="330" spans="6:6" x14ac:dyDescent="0.3">
      <c r="F330" s="13"/>
    </row>
    <row r="331" spans="6:6" x14ac:dyDescent="0.3">
      <c r="F331" s="13"/>
    </row>
    <row r="332" spans="6:6" x14ac:dyDescent="0.3">
      <c r="F332" s="13"/>
    </row>
    <row r="333" spans="6:6" x14ac:dyDescent="0.3">
      <c r="F333" s="13"/>
    </row>
    <row r="334" spans="6:6" x14ac:dyDescent="0.3">
      <c r="F334" s="13"/>
    </row>
    <row r="335" spans="6:6" x14ac:dyDescent="0.3">
      <c r="F335" s="13"/>
    </row>
    <row r="336" spans="6:6" x14ac:dyDescent="0.3">
      <c r="F336" s="13"/>
    </row>
    <row r="337" spans="6:6" x14ac:dyDescent="0.3">
      <c r="F337" s="13"/>
    </row>
    <row r="338" spans="6:6" x14ac:dyDescent="0.3">
      <c r="F338" s="13"/>
    </row>
    <row r="339" spans="6:6" x14ac:dyDescent="0.3">
      <c r="F339" s="13"/>
    </row>
    <row r="340" spans="6:6" x14ac:dyDescent="0.3">
      <c r="F340" s="13"/>
    </row>
    <row r="341" spans="6:6" x14ac:dyDescent="0.3">
      <c r="F341" s="13"/>
    </row>
    <row r="342" spans="6:6" x14ac:dyDescent="0.3">
      <c r="F342" s="13"/>
    </row>
    <row r="343" spans="6:6" x14ac:dyDescent="0.3">
      <c r="F343" s="13"/>
    </row>
    <row r="344" spans="6:6" x14ac:dyDescent="0.3">
      <c r="F344" s="13"/>
    </row>
    <row r="345" spans="6:6" x14ac:dyDescent="0.3">
      <c r="F345" s="13"/>
    </row>
    <row r="346" spans="6:6" x14ac:dyDescent="0.3">
      <c r="F346" s="13"/>
    </row>
    <row r="347" spans="6:6" x14ac:dyDescent="0.3">
      <c r="F347" s="13"/>
    </row>
    <row r="348" spans="6:6" x14ac:dyDescent="0.3">
      <c r="F348" s="13"/>
    </row>
    <row r="349" spans="6:6" x14ac:dyDescent="0.3">
      <c r="F349" s="13"/>
    </row>
    <row r="350" spans="6:6" x14ac:dyDescent="0.3">
      <c r="F350" s="13"/>
    </row>
    <row r="351" spans="6:6" x14ac:dyDescent="0.3">
      <c r="F351" s="13"/>
    </row>
    <row r="352" spans="6:6" x14ac:dyDescent="0.3">
      <c r="F352" s="13"/>
    </row>
    <row r="353" spans="6:6" x14ac:dyDescent="0.3">
      <c r="F353" s="13"/>
    </row>
    <row r="354" spans="6:6" x14ac:dyDescent="0.3">
      <c r="F354" s="13"/>
    </row>
    <row r="355" spans="6:6" x14ac:dyDescent="0.3">
      <c r="F355" s="13"/>
    </row>
    <row r="356" spans="6:6" x14ac:dyDescent="0.3">
      <c r="F356" s="13"/>
    </row>
    <row r="357" spans="6:6" x14ac:dyDescent="0.3">
      <c r="F357" s="13"/>
    </row>
    <row r="358" spans="6:6" x14ac:dyDescent="0.3">
      <c r="F358" s="13"/>
    </row>
    <row r="359" spans="6:6" x14ac:dyDescent="0.3">
      <c r="F359" s="13"/>
    </row>
    <row r="360" spans="6:6" x14ac:dyDescent="0.3">
      <c r="F360" s="13"/>
    </row>
    <row r="361" spans="6:6" x14ac:dyDescent="0.3">
      <c r="F361" s="13"/>
    </row>
    <row r="362" spans="6:6" x14ac:dyDescent="0.3">
      <c r="F362" s="13"/>
    </row>
    <row r="363" spans="6:6" x14ac:dyDescent="0.3">
      <c r="F363" s="13"/>
    </row>
    <row r="364" spans="6:6" x14ac:dyDescent="0.3">
      <c r="F364" s="13"/>
    </row>
    <row r="365" spans="6:6" x14ac:dyDescent="0.3">
      <c r="F365" s="13"/>
    </row>
    <row r="366" spans="6:6" x14ac:dyDescent="0.3">
      <c r="F366" s="13"/>
    </row>
    <row r="367" spans="6:6" x14ac:dyDescent="0.3">
      <c r="F367" s="13"/>
    </row>
    <row r="368" spans="6:6" x14ac:dyDescent="0.3">
      <c r="F368" s="13"/>
    </row>
    <row r="369" spans="6:6" x14ac:dyDescent="0.3">
      <c r="F369" s="13"/>
    </row>
    <row r="370" spans="6:6" x14ac:dyDescent="0.3">
      <c r="F370" s="13"/>
    </row>
    <row r="371" spans="6:6" x14ac:dyDescent="0.3">
      <c r="F371" s="13"/>
    </row>
    <row r="372" spans="6:6" x14ac:dyDescent="0.3">
      <c r="F372" s="13"/>
    </row>
    <row r="373" spans="6:6" x14ac:dyDescent="0.3">
      <c r="F373" s="13"/>
    </row>
    <row r="374" spans="6:6" x14ac:dyDescent="0.3">
      <c r="F374" s="13"/>
    </row>
    <row r="375" spans="6:6" x14ac:dyDescent="0.3">
      <c r="F375" s="13"/>
    </row>
    <row r="376" spans="6:6" x14ac:dyDescent="0.3">
      <c r="F376" s="13"/>
    </row>
    <row r="377" spans="6:6" x14ac:dyDescent="0.3">
      <c r="F377" s="13"/>
    </row>
    <row r="378" spans="6:6" x14ac:dyDescent="0.3">
      <c r="F378" s="13"/>
    </row>
    <row r="379" spans="6:6" x14ac:dyDescent="0.3">
      <c r="F379" s="13"/>
    </row>
    <row r="380" spans="6:6" x14ac:dyDescent="0.3">
      <c r="F380" s="13"/>
    </row>
    <row r="381" spans="6:6" x14ac:dyDescent="0.3">
      <c r="F381" s="13"/>
    </row>
    <row r="382" spans="6:6" x14ac:dyDescent="0.3">
      <c r="F382" s="13"/>
    </row>
    <row r="383" spans="6:6" x14ac:dyDescent="0.3">
      <c r="F383" s="1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scriptId id="ms-officescript%3A%2F%2Fonedrive_business_itemlink%2F01UIHHRLKIRM3IHLUEGRHJIYWMDMRZ2B2I:ms-officescript%3A%2F%2Fonedrive_business_sharinglink%2Fu!aHR0cHM6Ly91cWF0LW15LnNoYXJlcG9pbnQuY29tLzp1Oi9nL3BlcnNvbmFsL2JvdW4xMDNfdXFhdF9jYS9FVWlMTm9PdWhEUk9sR0xNR3lPZEIwZ0JOanRPY0dvQzVVY2FxYjBqWHJLdmpR"/>
</scriptIds>
</file>

<file path=customXml/itemProps1.xml><?xml version="1.0" encoding="utf-8"?>
<ds:datastoreItem xmlns:ds="http://schemas.openxmlformats.org/officeDocument/2006/customXml" ds:itemID="{AB3B148A-DD67-4972-A718-87F1E1C22F70}">
  <ds:schemaRefs>
    <ds:schemaRef ds:uri="http://schemas.microsoft.com/office/extensibility/maker/v1.0"/>
  </ds:schemaRefs>
</ds:datastoreItem>
</file>

<file path=docMetadata/LabelInfo.xml><?xml version="1.0" encoding="utf-8"?>
<clbl:labelList xmlns:clbl="http://schemas.microsoft.com/office/2020/mipLabelMetadata">
  <clbl:label id="{cf8d721f-5db2-4de6-92ac-f3310e4c4343}" enabled="1" method="Standard" siteId="{73d292cb-26a4-4f25-b5df-69a6fad715ca}"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Simulation</vt:lpstr>
      <vt:lpstr>Preuve92Tours</vt:lpstr>
      <vt:lpstr>joueur1</vt:lpstr>
      <vt:lpstr>joueur2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Bousquet, Noé</dc:creator>
  <cp:lastModifiedBy>Bousquet, Noé</cp:lastModifiedBy>
  <dcterms:created xsi:type="dcterms:W3CDTF">2024-11-08T20:10:37Z</dcterms:created>
  <dcterms:modified xsi:type="dcterms:W3CDTF">2024-12-03T06:39:02Z</dcterms:modified>
</cp:coreProperties>
</file>